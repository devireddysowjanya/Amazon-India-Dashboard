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/>
  <xr:revisionPtr revIDLastSave="0" documentId="8_{10B7320C-4AB3-4D00-B710-18DD221C081C}" xr6:coauthVersionLast="47" xr6:coauthVersionMax="47" xr10:uidLastSave="{00000000-0000-0000-0000-000000000000}"/>
  <bookViews>
    <workbookView xWindow="0" yWindow="0" windowWidth="0" windowHeight="0" firstSheet="1" activeTab="4" xr2:uid="{00000000-000D-0000-FFFF-FFFF00000000}"/>
  </bookViews>
  <sheets>
    <sheet name="object2" sheetId="4" r:id="rId1"/>
    <sheet name="object3" sheetId="5" r:id="rId2"/>
    <sheet name="object4" sheetId="6" r:id="rId3"/>
    <sheet name="object5" sheetId="7" r:id="rId4"/>
    <sheet name="Sheet1" sheetId="8" r:id="rId5"/>
    <sheet name="object6" sheetId="9" r:id="rId6"/>
    <sheet name="object1" sheetId="1" r:id="rId7"/>
    <sheet name="Management_Summary" sheetId="2" r:id="rId8"/>
  </sheets>
  <definedNames>
    <definedName name="Slicer_Order_Status">#N/A</definedName>
  </definedNames>
  <calcPr calcId="191028"/>
  <pivotCaches>
    <pivotCache cacheId="15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2" l="1"/>
  <c r="D24" i="2"/>
  <c r="C24" i="2"/>
  <c r="K23" i="2"/>
  <c r="J23" i="2"/>
  <c r="D23" i="2"/>
  <c r="C23" i="2"/>
  <c r="K22" i="2"/>
  <c r="J22" i="2"/>
  <c r="D22" i="2"/>
  <c r="C22" i="2"/>
  <c r="K21" i="2"/>
  <c r="J21" i="2"/>
  <c r="D21" i="2"/>
  <c r="C21" i="2"/>
  <c r="K20" i="2"/>
  <c r="J20" i="2"/>
  <c r="D20" i="2"/>
  <c r="C20" i="2"/>
  <c r="K19" i="2"/>
  <c r="J19" i="2"/>
  <c r="J25" i="2" s="1"/>
  <c r="D19" i="2"/>
  <c r="D25" i="2" s="1"/>
  <c r="C19" i="2"/>
  <c r="C25" i="2" s="1"/>
  <c r="G15" i="2"/>
  <c r="D15" i="2"/>
  <c r="C15" i="2"/>
  <c r="K14" i="2"/>
  <c r="J14" i="2"/>
  <c r="D14" i="2"/>
  <c r="C14" i="2"/>
  <c r="G14" i="2" s="1"/>
  <c r="K13" i="2"/>
  <c r="J13" i="2"/>
  <c r="G13" i="2"/>
  <c r="D13" i="2"/>
  <c r="C13" i="2"/>
  <c r="K12" i="2"/>
  <c r="J12" i="2"/>
  <c r="G12" i="2"/>
  <c r="D12" i="2"/>
  <c r="C12" i="2"/>
  <c r="K11" i="2"/>
  <c r="J11" i="2"/>
  <c r="G11" i="2"/>
  <c r="D11" i="2"/>
  <c r="C11" i="2"/>
  <c r="K10" i="2"/>
  <c r="K15" i="2" s="1"/>
  <c r="J10" i="2"/>
  <c r="J15" i="2" s="1"/>
  <c r="G10" i="2"/>
  <c r="D10" i="2"/>
  <c r="C10" i="2"/>
  <c r="L6" i="2"/>
  <c r="E6" i="2"/>
  <c r="H501" i="1"/>
  <c r="I501" i="1" s="1"/>
  <c r="H500" i="1"/>
  <c r="I500" i="1" s="1"/>
  <c r="H499" i="1"/>
  <c r="I499" i="1" s="1"/>
  <c r="H498" i="1"/>
  <c r="I498" i="1" s="1"/>
  <c r="H497" i="1"/>
  <c r="I497" i="1" s="1"/>
  <c r="H496" i="1"/>
  <c r="I496" i="1" s="1"/>
  <c r="H495" i="1"/>
  <c r="I495" i="1" s="1"/>
  <c r="H494" i="1"/>
  <c r="I494" i="1" s="1"/>
  <c r="H493" i="1"/>
  <c r="I493" i="1" s="1"/>
  <c r="H492" i="1"/>
  <c r="I492" i="1" s="1"/>
  <c r="H491" i="1"/>
  <c r="I491" i="1" s="1"/>
  <c r="H490" i="1"/>
  <c r="I490" i="1" s="1"/>
  <c r="H489" i="1"/>
  <c r="I489" i="1" s="1"/>
  <c r="H488" i="1"/>
  <c r="I488" i="1" s="1"/>
  <c r="H487" i="1"/>
  <c r="I487" i="1" s="1"/>
  <c r="H486" i="1"/>
  <c r="I486" i="1" s="1"/>
  <c r="H485" i="1"/>
  <c r="I485" i="1" s="1"/>
  <c r="H484" i="1"/>
  <c r="I484" i="1" s="1"/>
  <c r="H483" i="1"/>
  <c r="I483" i="1" s="1"/>
  <c r="H482" i="1"/>
  <c r="I482" i="1" s="1"/>
  <c r="H481" i="1"/>
  <c r="I481" i="1" s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I474" i="1" s="1"/>
  <c r="H473" i="1"/>
  <c r="I473" i="1" s="1"/>
  <c r="H472" i="1"/>
  <c r="I472" i="1" s="1"/>
  <c r="H471" i="1"/>
  <c r="I471" i="1" s="1"/>
  <c r="H470" i="1"/>
  <c r="I470" i="1" s="1"/>
  <c r="H469" i="1"/>
  <c r="I469" i="1" s="1"/>
  <c r="H468" i="1"/>
  <c r="I468" i="1" s="1"/>
  <c r="H467" i="1"/>
  <c r="I467" i="1" s="1"/>
  <c r="H466" i="1"/>
  <c r="I466" i="1" s="1"/>
  <c r="H465" i="1"/>
  <c r="I465" i="1" s="1"/>
  <c r="H464" i="1"/>
  <c r="I464" i="1" s="1"/>
  <c r="H463" i="1"/>
  <c r="I463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1" i="1"/>
  <c r="I451" i="1" s="1"/>
  <c r="H450" i="1"/>
  <c r="I450" i="1" s="1"/>
  <c r="H449" i="1"/>
  <c r="I449" i="1" s="1"/>
  <c r="H448" i="1"/>
  <c r="I448" i="1" s="1"/>
  <c r="H447" i="1"/>
  <c r="I447" i="1" s="1"/>
  <c r="H446" i="1"/>
  <c r="I446" i="1" s="1"/>
  <c r="H445" i="1"/>
  <c r="I445" i="1" s="1"/>
  <c r="H444" i="1"/>
  <c r="I444" i="1" s="1"/>
  <c r="H443" i="1"/>
  <c r="I443" i="1" s="1"/>
  <c r="H442" i="1"/>
  <c r="I442" i="1" s="1"/>
  <c r="H441" i="1"/>
  <c r="I441" i="1" s="1"/>
  <c r="H440" i="1"/>
  <c r="I440" i="1" s="1"/>
  <c r="H439" i="1"/>
  <c r="I439" i="1" s="1"/>
  <c r="H438" i="1"/>
  <c r="I438" i="1" s="1"/>
  <c r="H437" i="1"/>
  <c r="I437" i="1" s="1"/>
  <c r="H436" i="1"/>
  <c r="I436" i="1" s="1"/>
  <c r="H435" i="1"/>
  <c r="I435" i="1" s="1"/>
  <c r="H434" i="1"/>
  <c r="I434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4" i="1"/>
  <c r="I424" i="1" s="1"/>
  <c r="H423" i="1"/>
  <c r="I423" i="1" s="1"/>
  <c r="H422" i="1"/>
  <c r="I422" i="1" s="1"/>
  <c r="H421" i="1"/>
  <c r="I421" i="1" s="1"/>
  <c r="H420" i="1"/>
  <c r="I420" i="1" s="1"/>
  <c r="H419" i="1"/>
  <c r="I419" i="1" s="1"/>
  <c r="H418" i="1"/>
  <c r="I418" i="1" s="1"/>
  <c r="H417" i="1"/>
  <c r="I417" i="1" s="1"/>
  <c r="H416" i="1"/>
  <c r="I416" i="1" s="1"/>
  <c r="H415" i="1"/>
  <c r="I415" i="1" s="1"/>
  <c r="H414" i="1"/>
  <c r="I414" i="1" s="1"/>
  <c r="H413" i="1"/>
  <c r="I413" i="1" s="1"/>
  <c r="H412" i="1"/>
  <c r="I412" i="1" s="1"/>
  <c r="H411" i="1"/>
  <c r="I411" i="1" s="1"/>
  <c r="H410" i="1"/>
  <c r="I410" i="1" s="1"/>
  <c r="H409" i="1"/>
  <c r="I409" i="1" s="1"/>
  <c r="H408" i="1"/>
  <c r="I408" i="1" s="1"/>
  <c r="H407" i="1"/>
  <c r="I407" i="1" s="1"/>
  <c r="H406" i="1"/>
  <c r="I406" i="1" s="1"/>
  <c r="H405" i="1"/>
  <c r="I405" i="1" s="1"/>
  <c r="H404" i="1"/>
  <c r="I404" i="1" s="1"/>
  <c r="H403" i="1"/>
  <c r="I403" i="1" s="1"/>
  <c r="H402" i="1"/>
  <c r="I402" i="1" s="1"/>
  <c r="H401" i="1"/>
  <c r="I401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H388" i="1"/>
  <c r="I388" i="1" s="1"/>
  <c r="H387" i="1"/>
  <c r="I387" i="1" s="1"/>
  <c r="H386" i="1"/>
  <c r="I386" i="1" s="1"/>
  <c r="H385" i="1"/>
  <c r="I385" i="1" s="1"/>
  <c r="H384" i="1"/>
  <c r="I384" i="1" s="1"/>
  <c r="H383" i="1"/>
  <c r="I383" i="1" s="1"/>
  <c r="H382" i="1"/>
  <c r="I382" i="1" s="1"/>
  <c r="H381" i="1"/>
  <c r="I381" i="1" s="1"/>
  <c r="H380" i="1"/>
  <c r="I380" i="1" s="1"/>
  <c r="H379" i="1"/>
  <c r="I379" i="1" s="1"/>
  <c r="H378" i="1"/>
  <c r="I378" i="1" s="1"/>
  <c r="H377" i="1"/>
  <c r="I377" i="1" s="1"/>
  <c r="H376" i="1"/>
  <c r="I376" i="1" s="1"/>
  <c r="H375" i="1"/>
  <c r="I375" i="1" s="1"/>
  <c r="H374" i="1"/>
  <c r="I374" i="1" s="1"/>
  <c r="H373" i="1"/>
  <c r="I373" i="1" s="1"/>
  <c r="H372" i="1"/>
  <c r="I372" i="1" s="1"/>
  <c r="H371" i="1"/>
  <c r="I371" i="1" s="1"/>
  <c r="H370" i="1"/>
  <c r="I370" i="1" s="1"/>
  <c r="H369" i="1"/>
  <c r="I369" i="1" s="1"/>
  <c r="H368" i="1"/>
  <c r="I368" i="1" s="1"/>
  <c r="H367" i="1"/>
  <c r="I367" i="1" s="1"/>
  <c r="H366" i="1"/>
  <c r="I366" i="1" s="1"/>
  <c r="H365" i="1"/>
  <c r="I365" i="1" s="1"/>
  <c r="H364" i="1"/>
  <c r="I364" i="1" s="1"/>
  <c r="H363" i="1"/>
  <c r="I363" i="1" s="1"/>
  <c r="H362" i="1"/>
  <c r="I362" i="1" s="1"/>
  <c r="H361" i="1"/>
  <c r="I361" i="1" s="1"/>
  <c r="H360" i="1"/>
  <c r="I360" i="1" s="1"/>
  <c r="H359" i="1"/>
  <c r="I359" i="1" s="1"/>
  <c r="H358" i="1"/>
  <c r="I358" i="1" s="1"/>
  <c r="H357" i="1"/>
  <c r="I357" i="1" s="1"/>
  <c r="H356" i="1"/>
  <c r="I356" i="1" s="1"/>
  <c r="H355" i="1"/>
  <c r="I355" i="1" s="1"/>
  <c r="H354" i="1"/>
  <c r="I354" i="1" s="1"/>
  <c r="H353" i="1"/>
  <c r="I353" i="1" s="1"/>
  <c r="H352" i="1"/>
  <c r="I352" i="1" s="1"/>
  <c r="H351" i="1"/>
  <c r="I351" i="1" s="1"/>
  <c r="H350" i="1"/>
  <c r="I350" i="1" s="1"/>
  <c r="H349" i="1"/>
  <c r="I349" i="1" s="1"/>
  <c r="H348" i="1"/>
  <c r="I348" i="1" s="1"/>
  <c r="H347" i="1"/>
  <c r="I347" i="1" s="1"/>
  <c r="H346" i="1"/>
  <c r="I346" i="1" s="1"/>
  <c r="H345" i="1"/>
  <c r="I345" i="1" s="1"/>
  <c r="H344" i="1"/>
  <c r="I344" i="1" s="1"/>
  <c r="H343" i="1"/>
  <c r="I343" i="1" s="1"/>
  <c r="H342" i="1"/>
  <c r="I342" i="1" s="1"/>
  <c r="H341" i="1"/>
  <c r="I341" i="1" s="1"/>
  <c r="H340" i="1"/>
  <c r="I340" i="1" s="1"/>
  <c r="H339" i="1"/>
  <c r="I339" i="1" s="1"/>
  <c r="H338" i="1"/>
  <c r="I338" i="1" s="1"/>
  <c r="H337" i="1"/>
  <c r="I337" i="1" s="1"/>
  <c r="H336" i="1"/>
  <c r="I336" i="1" s="1"/>
  <c r="H335" i="1"/>
  <c r="I335" i="1" s="1"/>
  <c r="H334" i="1"/>
  <c r="I334" i="1" s="1"/>
  <c r="H333" i="1"/>
  <c r="I333" i="1" s="1"/>
  <c r="H332" i="1"/>
  <c r="I332" i="1" s="1"/>
  <c r="H331" i="1"/>
  <c r="I331" i="1" s="1"/>
  <c r="H330" i="1"/>
  <c r="I330" i="1" s="1"/>
  <c r="H329" i="1"/>
  <c r="I329" i="1" s="1"/>
  <c r="H328" i="1"/>
  <c r="I328" i="1" s="1"/>
  <c r="H327" i="1"/>
  <c r="I327" i="1" s="1"/>
  <c r="H326" i="1"/>
  <c r="I326" i="1" s="1"/>
  <c r="H325" i="1"/>
  <c r="I325" i="1" s="1"/>
  <c r="H324" i="1"/>
  <c r="I324" i="1" s="1"/>
  <c r="H323" i="1"/>
  <c r="I323" i="1" s="1"/>
  <c r="H322" i="1"/>
  <c r="I322" i="1" s="1"/>
  <c r="H321" i="1"/>
  <c r="I321" i="1" s="1"/>
  <c r="H320" i="1"/>
  <c r="I320" i="1" s="1"/>
  <c r="H319" i="1"/>
  <c r="I319" i="1" s="1"/>
  <c r="H318" i="1"/>
  <c r="I318" i="1" s="1"/>
  <c r="H317" i="1"/>
  <c r="I317" i="1" s="1"/>
  <c r="H316" i="1"/>
  <c r="I316" i="1" s="1"/>
  <c r="H315" i="1"/>
  <c r="I315" i="1" s="1"/>
  <c r="H314" i="1"/>
  <c r="I314" i="1" s="1"/>
  <c r="H313" i="1"/>
  <c r="I313" i="1" s="1"/>
  <c r="H312" i="1"/>
  <c r="I312" i="1" s="1"/>
  <c r="H311" i="1"/>
  <c r="I311" i="1" s="1"/>
  <c r="H310" i="1"/>
  <c r="I310" i="1" s="1"/>
  <c r="H309" i="1"/>
  <c r="I309" i="1" s="1"/>
  <c r="H308" i="1"/>
  <c r="I308" i="1" s="1"/>
  <c r="H307" i="1"/>
  <c r="I307" i="1" s="1"/>
  <c r="H306" i="1"/>
  <c r="I306" i="1" s="1"/>
  <c r="H305" i="1"/>
  <c r="I305" i="1" s="1"/>
  <c r="H304" i="1"/>
  <c r="I304" i="1" s="1"/>
  <c r="H303" i="1"/>
  <c r="I303" i="1" s="1"/>
  <c r="H302" i="1"/>
  <c r="I302" i="1" s="1"/>
  <c r="H301" i="1"/>
  <c r="I301" i="1" s="1"/>
  <c r="H300" i="1"/>
  <c r="I300" i="1" s="1"/>
  <c r="H299" i="1"/>
  <c r="I299" i="1" s="1"/>
  <c r="H298" i="1"/>
  <c r="I298" i="1" s="1"/>
  <c r="H297" i="1"/>
  <c r="I297" i="1" s="1"/>
  <c r="H296" i="1"/>
  <c r="I296" i="1" s="1"/>
  <c r="H295" i="1"/>
  <c r="I295" i="1" s="1"/>
  <c r="H294" i="1"/>
  <c r="I294" i="1" s="1"/>
  <c r="H293" i="1"/>
  <c r="I293" i="1" s="1"/>
  <c r="H292" i="1"/>
  <c r="H291" i="1"/>
  <c r="I291" i="1" s="1"/>
  <c r="H290" i="1"/>
  <c r="I290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  <c r="H252" i="1"/>
  <c r="I252" i="1" s="1"/>
  <c r="H251" i="1"/>
  <c r="I251" i="1" s="1"/>
  <c r="H250" i="1"/>
  <c r="I250" i="1" s="1"/>
  <c r="H249" i="1"/>
  <c r="I249" i="1" s="1"/>
  <c r="H248" i="1"/>
  <c r="I248" i="1" s="1"/>
  <c r="H247" i="1"/>
  <c r="I247" i="1" s="1"/>
  <c r="H246" i="1"/>
  <c r="I246" i="1" s="1"/>
  <c r="H245" i="1"/>
  <c r="I245" i="1" s="1"/>
  <c r="H244" i="1"/>
  <c r="I244" i="1" s="1"/>
  <c r="H243" i="1"/>
  <c r="I243" i="1" s="1"/>
  <c r="H242" i="1"/>
  <c r="I242" i="1" s="1"/>
  <c r="H241" i="1"/>
  <c r="I241" i="1" s="1"/>
  <c r="H240" i="1"/>
  <c r="I240" i="1" s="1"/>
  <c r="H239" i="1"/>
  <c r="I239" i="1" s="1"/>
  <c r="H238" i="1"/>
  <c r="I238" i="1" s="1"/>
  <c r="H237" i="1"/>
  <c r="I237" i="1" s="1"/>
  <c r="H236" i="1"/>
  <c r="I236" i="1" s="1"/>
  <c r="H235" i="1"/>
  <c r="I235" i="1" s="1"/>
  <c r="H234" i="1"/>
  <c r="I234" i="1" s="1"/>
  <c r="H233" i="1"/>
  <c r="I233" i="1" s="1"/>
  <c r="H232" i="1"/>
  <c r="I232" i="1" s="1"/>
  <c r="H231" i="1"/>
  <c r="I231" i="1" s="1"/>
  <c r="H230" i="1"/>
  <c r="I230" i="1" s="1"/>
  <c r="H229" i="1"/>
  <c r="I229" i="1" s="1"/>
  <c r="H228" i="1"/>
  <c r="I228" i="1" s="1"/>
  <c r="H227" i="1"/>
  <c r="I227" i="1" s="1"/>
  <c r="H226" i="1"/>
  <c r="I226" i="1" s="1"/>
  <c r="H225" i="1"/>
  <c r="I225" i="1" s="1"/>
  <c r="H224" i="1"/>
  <c r="I224" i="1" s="1"/>
  <c r="H223" i="1"/>
  <c r="I223" i="1" s="1"/>
  <c r="H222" i="1"/>
  <c r="I222" i="1" s="1"/>
  <c r="H221" i="1"/>
  <c r="I221" i="1" s="1"/>
  <c r="H220" i="1"/>
  <c r="I220" i="1" s="1"/>
  <c r="H219" i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10" i="1"/>
  <c r="I210" i="1" s="1"/>
  <c r="H209" i="1"/>
  <c r="I209" i="1" s="1"/>
  <c r="H208" i="1"/>
  <c r="I208" i="1" s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196" i="1"/>
  <c r="I196" i="1" s="1"/>
  <c r="H195" i="1"/>
  <c r="I195" i="1" s="1"/>
  <c r="H194" i="1"/>
  <c r="I194" i="1" s="1"/>
  <c r="H193" i="1"/>
  <c r="I193" i="1" s="1"/>
  <c r="H192" i="1"/>
  <c r="I192" i="1" s="1"/>
  <c r="H191" i="1"/>
  <c r="I191" i="1" s="1"/>
  <c r="H190" i="1"/>
  <c r="I190" i="1" s="1"/>
  <c r="H189" i="1"/>
  <c r="I189" i="1" s="1"/>
  <c r="H188" i="1"/>
  <c r="I188" i="1" s="1"/>
  <c r="H187" i="1"/>
  <c r="I187" i="1" s="1"/>
  <c r="H186" i="1"/>
  <c r="I186" i="1" s="1"/>
  <c r="H185" i="1"/>
  <c r="I185" i="1" s="1"/>
  <c r="H184" i="1"/>
  <c r="I184" i="1" s="1"/>
  <c r="H183" i="1"/>
  <c r="I183" i="1" s="1"/>
  <c r="H182" i="1"/>
  <c r="I182" i="1" s="1"/>
  <c r="H181" i="1"/>
  <c r="I181" i="1" s="1"/>
  <c r="H180" i="1"/>
  <c r="I180" i="1" s="1"/>
  <c r="H179" i="1"/>
  <c r="I179" i="1" s="1"/>
  <c r="H178" i="1"/>
  <c r="I178" i="1" s="1"/>
  <c r="H177" i="1"/>
  <c r="I177" i="1" s="1"/>
  <c r="H176" i="1"/>
  <c r="I176" i="1" s="1"/>
  <c r="H175" i="1"/>
  <c r="I175" i="1" s="1"/>
  <c r="H174" i="1"/>
  <c r="I174" i="1" s="1"/>
  <c r="H173" i="1"/>
  <c r="I173" i="1" s="1"/>
  <c r="H172" i="1"/>
  <c r="I172" i="1" s="1"/>
  <c r="H171" i="1"/>
  <c r="I171" i="1" s="1"/>
  <c r="H170" i="1"/>
  <c r="I170" i="1" s="1"/>
  <c r="H169" i="1"/>
  <c r="I169" i="1" s="1"/>
  <c r="H168" i="1"/>
  <c r="I168" i="1" s="1"/>
  <c r="H167" i="1"/>
  <c r="I167" i="1" s="1"/>
  <c r="H166" i="1"/>
  <c r="I166" i="1" s="1"/>
  <c r="H165" i="1"/>
  <c r="I165" i="1" s="1"/>
  <c r="H164" i="1"/>
  <c r="I164" i="1" s="1"/>
  <c r="H163" i="1"/>
  <c r="I163" i="1" s="1"/>
  <c r="H162" i="1"/>
  <c r="I162" i="1" s="1"/>
  <c r="H161" i="1"/>
  <c r="I161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48" i="1"/>
  <c r="I148" i="1" s="1"/>
  <c r="H147" i="1"/>
  <c r="I147" i="1" s="1"/>
  <c r="H146" i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H139" i="1"/>
  <c r="I139" i="1" s="1"/>
  <c r="H138" i="1"/>
  <c r="I138" i="1" s="1"/>
  <c r="H137" i="1"/>
  <c r="I137" i="1" s="1"/>
  <c r="H136" i="1"/>
  <c r="I136" i="1" s="1"/>
  <c r="H135" i="1"/>
  <c r="I135" i="1" s="1"/>
  <c r="H134" i="1"/>
  <c r="I134" i="1" s="1"/>
  <c r="H133" i="1"/>
  <c r="I133" i="1" s="1"/>
  <c r="H132" i="1"/>
  <c r="I132" i="1" s="1"/>
  <c r="H131" i="1"/>
  <c r="I131" i="1" s="1"/>
  <c r="H130" i="1"/>
  <c r="I130" i="1" s="1"/>
  <c r="H129" i="1"/>
  <c r="I129" i="1" s="1"/>
  <c r="H128" i="1"/>
  <c r="I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I121" i="1" s="1"/>
  <c r="H120" i="1"/>
  <c r="I120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H74" i="1"/>
  <c r="I74" i="1" s="1"/>
  <c r="H73" i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H13" i="1"/>
  <c r="I13" i="1" s="1"/>
  <c r="H12" i="1"/>
  <c r="I12" i="1" s="1"/>
  <c r="H11" i="1"/>
  <c r="I11" i="1" s="1"/>
  <c r="H10" i="1"/>
  <c r="I10" i="1" s="1"/>
  <c r="H9" i="1"/>
  <c r="H8" i="1"/>
  <c r="H7" i="1"/>
  <c r="H6" i="1"/>
  <c r="H5" i="1"/>
  <c r="H4" i="1"/>
  <c r="H3" i="1"/>
  <c r="H2" i="1"/>
  <c r="L19" i="2" l="1"/>
  <c r="E19" i="2"/>
  <c r="E15" i="2"/>
  <c r="E12" i="2"/>
  <c r="L10" i="2"/>
  <c r="E10" i="2"/>
  <c r="B6" i="2"/>
  <c r="I2" i="1"/>
  <c r="E21" i="2"/>
  <c r="L20" i="2"/>
  <c r="I3" i="1"/>
  <c r="L23" i="2"/>
  <c r="E22" i="2"/>
  <c r="E11" i="2"/>
  <c r="I4" i="1"/>
  <c r="E23" i="2"/>
  <c r="I5" i="1"/>
  <c r="F23" i="2" s="1"/>
  <c r="G23" i="2" s="1"/>
  <c r="L21" i="2"/>
  <c r="E20" i="2"/>
  <c r="I6" i="1"/>
  <c r="L22" i="2"/>
  <c r="I7" i="1"/>
  <c r="M22" i="2" s="1"/>
  <c r="N22" i="2" s="1"/>
  <c r="E24" i="2"/>
  <c r="I8" i="1"/>
  <c r="F24" i="2" s="1"/>
  <c r="G24" i="2" s="1"/>
  <c r="E13" i="2"/>
  <c r="I9" i="1"/>
  <c r="F13" i="2" s="1"/>
  <c r="E14" i="2"/>
  <c r="I14" i="1"/>
  <c r="F14" i="2" s="1"/>
  <c r="L11" i="2"/>
  <c r="I73" i="1"/>
  <c r="M11" i="2" s="1"/>
  <c r="N11" i="2" s="1"/>
  <c r="L12" i="2"/>
  <c r="I146" i="1"/>
  <c r="M12" i="2" s="1"/>
  <c r="N12" i="2" s="1"/>
  <c r="L13" i="2"/>
  <c r="I219" i="1"/>
  <c r="M13" i="2" s="1"/>
  <c r="N13" i="2" s="1"/>
  <c r="L14" i="2"/>
  <c r="I292" i="1"/>
  <c r="M14" i="2" s="1"/>
  <c r="N14" i="2" s="1"/>
  <c r="K24" i="2"/>
  <c r="K25" i="2" s="1"/>
  <c r="M21" i="2" l="1"/>
  <c r="N21" i="2" s="1"/>
  <c r="F20" i="2"/>
  <c r="G20" i="2" s="1"/>
  <c r="M23" i="2"/>
  <c r="N23" i="2" s="1"/>
  <c r="F22" i="2"/>
  <c r="G22" i="2" s="1"/>
  <c r="F11" i="2"/>
  <c r="F21" i="2"/>
  <c r="G21" i="2" s="1"/>
  <c r="M20" i="2"/>
  <c r="N20" i="2" s="1"/>
  <c r="M19" i="2"/>
  <c r="F19" i="2"/>
  <c r="F15" i="2"/>
  <c r="F12" i="2"/>
  <c r="M10" i="2"/>
  <c r="F10" i="2"/>
  <c r="I6" i="2"/>
  <c r="L15" i="2"/>
  <c r="E25" i="2"/>
  <c r="L24" i="2"/>
  <c r="L25" i="2" s="1"/>
  <c r="M15" i="2" l="1"/>
  <c r="N15" i="2" s="1"/>
  <c r="N10" i="2"/>
  <c r="F25" i="2"/>
  <c r="G25" i="2" s="1"/>
  <c r="G19" i="2"/>
  <c r="M25" i="2"/>
  <c r="N25" i="2" s="1"/>
  <c r="N19" i="2"/>
  <c r="M24" i="2"/>
  <c r="N24" i="2" s="1"/>
</calcChain>
</file>

<file path=xl/sharedStrings.xml><?xml version="1.0" encoding="utf-8"?>
<sst xmlns="http://schemas.openxmlformats.org/spreadsheetml/2006/main" count="3622" uniqueCount="694">
  <si>
    <t>Category</t>
  </si>
  <si>
    <t>Sum of Total_Sales_INR</t>
  </si>
  <si>
    <t>Beauty &amp; Personal Care</t>
  </si>
  <si>
    <t>Home &amp; Kitchen</t>
  </si>
  <si>
    <t>Fashion</t>
  </si>
  <si>
    <t>Sports &amp; Fitness</t>
  </si>
  <si>
    <t>Electronics</t>
  </si>
  <si>
    <t>Appliances</t>
  </si>
  <si>
    <t>Grand Total</t>
  </si>
  <si>
    <t>Count of Profit_INR</t>
  </si>
  <si>
    <t>Product</t>
  </si>
  <si>
    <t>Cockatoo Motorized Multi-Function Treadmill</t>
  </si>
  <si>
    <t>Godrej 1.5 Ton 3 Star Convertible Inverter AC</t>
  </si>
  <si>
    <t>HP 15s 12th Gen Intel Core i3 Laptop</t>
  </si>
  <si>
    <t>IFB 6kg 5 Star Fully Automatic Front Load Washing Machine</t>
  </si>
  <si>
    <t>LG 7kg 5 Star Inverter Washing Machine</t>
  </si>
  <si>
    <t>Mi Smart TV 43 Inch 4K Ultra HD Series</t>
  </si>
  <si>
    <t>OnePlus Nord CE 3 Lite 5G</t>
  </si>
  <si>
    <t>Samsung 253L 3 Star Inverter Frost-Free Refrigerator</t>
  </si>
  <si>
    <t>Samsung Galaxy M34 5G Smartphone</t>
  </si>
  <si>
    <t>Sony WH-1000XM5 Wireless ANC Headphones</t>
  </si>
  <si>
    <t>Order_Status</t>
  </si>
  <si>
    <t>Count of Order_ID</t>
  </si>
  <si>
    <t>Cancelled</t>
  </si>
  <si>
    <t>Delivered</t>
  </si>
  <si>
    <t>In Transit</t>
  </si>
  <si>
    <t>Returned</t>
  </si>
  <si>
    <t>Shipped</t>
  </si>
  <si>
    <t>in the above data 50% items was Delivered and rest of some issuses</t>
  </si>
  <si>
    <t>Faber 60cm 1000 m3/h Kitchen Chimney</t>
  </si>
  <si>
    <t>Fastrack Casual Analog Watch for Men</t>
  </si>
  <si>
    <t>Puma Men Smashic Casual Sneakers</t>
  </si>
  <si>
    <t>US Polo Assn Men Solid Slim Casual Shirt</t>
  </si>
  <si>
    <t>Van Heusen Men Athleisure Cotton Joggers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</si>
  <si>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</si>
  <si>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</si>
  <si>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</si>
  <si>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</si>
  <si>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</si>
  <si>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</si>
  <si>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</si>
  <si>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</si>
  <si>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</si>
  <si>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Ship_State</t>
  </si>
  <si>
    <t>IN-2024-1001</t>
  </si>
  <si>
    <t>boAt Rockerz 450 Bluetooth Headphones</t>
  </si>
  <si>
    <t>UPI</t>
  </si>
  <si>
    <t>Fulfilled by Amazon</t>
  </si>
  <si>
    <t>Maharashtra</t>
  </si>
  <si>
    <t>IN-2024-1002</t>
  </si>
  <si>
    <t>Levi's Men Slim Fit Jeans</t>
  </si>
  <si>
    <t>Credit Card</t>
  </si>
  <si>
    <t>Karnataka</t>
  </si>
  <si>
    <t>IN-2024-1003</t>
  </si>
  <si>
    <t>Prestige Iris 750W Mixer Grinder</t>
  </si>
  <si>
    <t>Net Banking</t>
  </si>
  <si>
    <t>Merchant</t>
  </si>
  <si>
    <t>Tamil Nadu</t>
  </si>
  <si>
    <t>IN-2024-1004</t>
  </si>
  <si>
    <t>Mamaearth Onion Hair Fall Control Shampoo</t>
  </si>
  <si>
    <t>Cash on Delivery</t>
  </si>
  <si>
    <t>Uttar Pradesh</t>
  </si>
  <si>
    <t>IN-2024-1005</t>
  </si>
  <si>
    <t>Philips Digital Air Fryer HD9200</t>
  </si>
  <si>
    <t>Delhi</t>
  </si>
  <si>
    <t>IN-2024-1006</t>
  </si>
  <si>
    <t>Amazon Pay</t>
  </si>
  <si>
    <t>Telangana</t>
  </si>
  <si>
    <t>IN-2024-1007</t>
  </si>
  <si>
    <t>Boldfit Resistance Bands Set</t>
  </si>
  <si>
    <t>Gujarat</t>
  </si>
  <si>
    <t>IN-2024-1008</t>
  </si>
  <si>
    <t>Biba Women Printed Straight Kurta</t>
  </si>
  <si>
    <t>West Bengal</t>
  </si>
  <si>
    <t>IN-2024-1009</t>
  </si>
  <si>
    <t>Pigeon Stainless Steel Cookware Set 3 Pcs</t>
  </si>
  <si>
    <t>Kerala</t>
  </si>
  <si>
    <t>IN-2024-1010</t>
  </si>
  <si>
    <t>Noise ColorFit Pulse 2 Max Smartwatch</t>
  </si>
  <si>
    <t>Debit Card</t>
  </si>
  <si>
    <t>Rajasthan</t>
  </si>
  <si>
    <t>IN-2024-1011</t>
  </si>
  <si>
    <t>Lakme Absolute Matte Lipstick</t>
  </si>
  <si>
    <t>IN-2024-1012</t>
  </si>
  <si>
    <t>Bajaj Splendora 3L Instant Water Heater</t>
  </si>
  <si>
    <t>IN-2024-1013</t>
  </si>
  <si>
    <t>IN-2024-1014</t>
  </si>
  <si>
    <t>Logitech K380 Multi-Device Wireless Keyboard</t>
  </si>
  <si>
    <t>IN-2024-1015</t>
  </si>
  <si>
    <t>Kore PVC 20kg Home Gym Dumbbell Set</t>
  </si>
  <si>
    <t>Haryana</t>
  </si>
  <si>
    <t>IN-2024-1016</t>
  </si>
  <si>
    <t>Milton Thermosteel 1000ml Flask</t>
  </si>
  <si>
    <t>IN-2024-1017</t>
  </si>
  <si>
    <t>The Derma Co 10% Niacinamide Face Serum</t>
  </si>
  <si>
    <t>IN-2024-1018</t>
  </si>
  <si>
    <t>Fire-Boltt Ninja Call Pro Plus Smartwatch</t>
  </si>
  <si>
    <t>IN-2024-1019</t>
  </si>
  <si>
    <t>Crompton Ozone 75L Desert Air Cooler</t>
  </si>
  <si>
    <t>IN-2024-1020</t>
  </si>
  <si>
    <t>IN-2024-1021</t>
  </si>
  <si>
    <t>Allen Solly Men Regular Fit Cotton Shirt</t>
  </si>
  <si>
    <t>IN-2024-1022</t>
  </si>
  <si>
    <t>Hawkins Contura Black Pressure Cooker 3L</t>
  </si>
  <si>
    <t>IN-2024-1023</t>
  </si>
  <si>
    <t>WOW Skin Science Apple Cider Vinegar Shampoo</t>
  </si>
  <si>
    <t>Madhya Pradesh</t>
  </si>
  <si>
    <t>IN-2024-1024</t>
  </si>
  <si>
    <t>Nivia Storm Football Size 5</t>
  </si>
  <si>
    <t>Punjab</t>
  </si>
  <si>
    <t>IN-2024-1025</t>
  </si>
  <si>
    <t>JBL Go 3 Wireless Portable Bluetooth Speaker</t>
  </si>
  <si>
    <t>IN-2024-1026</t>
  </si>
  <si>
    <t>Havells Glaze 1200mm Ceiling Fan</t>
  </si>
  <si>
    <t>Andhra Pradesh</t>
  </si>
  <si>
    <t>IN-2024-1027</t>
  </si>
  <si>
    <t>Aurelia Women Floral Print Anarkali Kurta</t>
  </si>
  <si>
    <t>IN-2024-1028</t>
  </si>
  <si>
    <t>Apple AirPods 2nd Gen with Charging Case</t>
  </si>
  <si>
    <t>IN-2024-1029</t>
  </si>
  <si>
    <t>Borosil Glass Mixing Bowl Set 3 Pcs</t>
  </si>
  <si>
    <t>IN-2024-1030</t>
  </si>
  <si>
    <t>Minimalist 2% Salicylic Acid Face Serum</t>
  </si>
  <si>
    <t>IN-2024-1031</t>
  </si>
  <si>
    <t>Strauss Yoga Mat 6mm Non-Slip</t>
  </si>
  <si>
    <t>IN-2024-1032</t>
  </si>
  <si>
    <t>SanDisk Ultra 128GB MicroSDXC UHS-I Card</t>
  </si>
  <si>
    <t>IN-2024-1033</t>
  </si>
  <si>
    <t>Red Tape Men Running Walking Shoes</t>
  </si>
  <si>
    <t>IN-2024-1034</t>
  </si>
  <si>
    <t>Kent Grand Plus RO Water Purifier 9L</t>
  </si>
  <si>
    <t>IN-2024-1035</t>
  </si>
  <si>
    <t>Solimo Stainless Steel Knife Set 3 Pcs</t>
  </si>
  <si>
    <t>IN-2024-1036</t>
  </si>
  <si>
    <t>realme Buds T300 TWS Earbuds 30dB ANC</t>
  </si>
  <si>
    <t>IN-2024-1037</t>
  </si>
  <si>
    <t>Forest Essentials Ayurvedic Facial Cleanser</t>
  </si>
  <si>
    <t>IN-2024-1038</t>
  </si>
  <si>
    <t>Yonex ZR 100 Light Aluminium Badminton Racket</t>
  </si>
  <si>
    <t>IN-2024-1039</t>
  </si>
  <si>
    <t>Morphy Richards 20L Solo Microwave Oven</t>
  </si>
  <si>
    <t>IN-2024-1040</t>
  </si>
  <si>
    <t>IN-2024-1041</t>
  </si>
  <si>
    <t>IN-2024-1042</t>
  </si>
  <si>
    <t>Cello Infuse Plastic Water Bottle 800ml 4 Pcs</t>
  </si>
  <si>
    <t>IN-2024-1043</t>
  </si>
  <si>
    <t>Plum Green Tea Pore Cleansing Face Wash</t>
  </si>
  <si>
    <t>IN-2024-1044</t>
  </si>
  <si>
    <t>IN-2024-1045</t>
  </si>
  <si>
    <t>IN-2024-1046</t>
  </si>
  <si>
    <t>W for Woman Geometric Print Festive Kurta</t>
  </si>
  <si>
    <t>IN-2024-1047</t>
  </si>
  <si>
    <t>IN-2024-1048</t>
  </si>
  <si>
    <t>Wonderchef Nutri-blend 400W Mixer Grinder</t>
  </si>
  <si>
    <t>IN-2024-1049</t>
  </si>
  <si>
    <t>Biotique Bio Kelp Protein Shampoo 650ml</t>
  </si>
  <si>
    <t>IN-2024-1050</t>
  </si>
  <si>
    <t>TP-Link Archer AX12 WiFi 6 Gigabit Router</t>
  </si>
  <si>
    <t>IN-2024-1051</t>
  </si>
  <si>
    <t>Peter England Men Regular Fit Formal Trousers</t>
  </si>
  <si>
    <t>IN-2024-1052</t>
  </si>
  <si>
    <t>Prestige Deluxe Alpha Stainless Steel Cooker 3L</t>
  </si>
  <si>
    <t>IN-2024-1053</t>
  </si>
  <si>
    <t>Dot &amp; Key Vitamin C+E Super Bright Sunscreen</t>
  </si>
  <si>
    <t>IN-2024-1054</t>
  </si>
  <si>
    <t>IN-2024-1055</t>
  </si>
  <si>
    <t>Cosco Light Cricket Tennis Ball Pack of 6</t>
  </si>
  <si>
    <t>IN-2024-1056</t>
  </si>
  <si>
    <t>boAt Airdopes 141 Bluetooth TWS Earbuds</t>
  </si>
  <si>
    <t>IN-2024-1057</t>
  </si>
  <si>
    <t>Sparx Men Running Shoes SM-482</t>
  </si>
  <si>
    <t>IN-2024-1058</t>
  </si>
  <si>
    <t>Bajaj Rex 500W Mixer Grinder with 3 Jars</t>
  </si>
  <si>
    <t>IN-2024-1059</t>
  </si>
  <si>
    <t>Himalaya Purifying Neem Face Wash 200ml</t>
  </si>
  <si>
    <t>IN-2024-1060</t>
  </si>
  <si>
    <t>IN-2024-1061</t>
  </si>
  <si>
    <t>Boldfit Gym Shaker Pro Bottle 700ml</t>
  </si>
  <si>
    <t>IN-2024-1062</t>
  </si>
  <si>
    <t>Redmi Note 13 5G Smartphone</t>
  </si>
  <si>
    <t>IN-2024-1063</t>
  </si>
  <si>
    <t>Max Women Solid A-Line Casual Dress</t>
  </si>
  <si>
    <t>IN-2024-1064</t>
  </si>
  <si>
    <t>Pigeon Polypropylene Chopper with 3 Blades</t>
  </si>
  <si>
    <t>IN-2024-1065</t>
  </si>
  <si>
    <t>Cetaphil Gentle Skin Cleanser 250ml</t>
  </si>
  <si>
    <t>IN-2024-1066</t>
  </si>
  <si>
    <t>Whirlpool 190L 3 Star Direct-Cool Refrigerator</t>
  </si>
  <si>
    <t>IN-2024-1067</t>
  </si>
  <si>
    <t>Lifelong FitPro Manual Treadmill</t>
  </si>
  <si>
    <t>IN-2024-1068</t>
  </si>
  <si>
    <t>Boult Audio Z40 True Wireless Earbuds</t>
  </si>
  <si>
    <t>IN-2024-1069</t>
  </si>
  <si>
    <t>IN-2024-1070</t>
  </si>
  <si>
    <t>Butterfly Jet Elite 750W Mixer Grinder</t>
  </si>
  <si>
    <t>IN-2024-1071</t>
  </si>
  <si>
    <t>L'Oreal Paris Extraordinary Hair Serum 100ml</t>
  </si>
  <si>
    <t>IN-2024-1072</t>
  </si>
  <si>
    <t>Havells Instanio 3L Instant Geyser</t>
  </si>
  <si>
    <t>IN-2024-1073</t>
  </si>
  <si>
    <t>Reach Exercise Cycle for Home Gym</t>
  </si>
  <si>
    <t>IN-2024-1074</t>
  </si>
  <si>
    <t>IN-2024-1075</t>
  </si>
  <si>
    <t>Skybags Brat Black Casual Backpack 30L</t>
  </si>
  <si>
    <t>IN-2024-1076</t>
  </si>
  <si>
    <t>Amazon Brand - Solimo Non-Stick Cookware Set</t>
  </si>
  <si>
    <t>IN-2024-1077</t>
  </si>
  <si>
    <t>mCaffeine Coffee Face Scrub 100g</t>
  </si>
  <si>
    <t>IN-2024-1078</t>
  </si>
  <si>
    <t>Bajaj New Shakti Neo 15L Storage Water Heater</t>
  </si>
  <si>
    <t>IN-2024-1079</t>
  </si>
  <si>
    <t>Vector X Rubber Dumbbells 5kg Pair</t>
  </si>
  <si>
    <t>IN-2024-1080</t>
  </si>
  <si>
    <t>Portronics Toad 23 Wireless Optical Mouse</t>
  </si>
  <si>
    <t>IN-2024-1081</t>
  </si>
  <si>
    <t>Campus Men Oxyfit Walking Shoes</t>
  </si>
  <si>
    <t>IN-2024-1082</t>
  </si>
  <si>
    <t>Milton Pro Lunch Insulated Tiffin Box</t>
  </si>
  <si>
    <t>IN-2024-1083</t>
  </si>
  <si>
    <t>BBLUNT Intense Shine Hair Mask 250g</t>
  </si>
  <si>
    <t>IN-2024-1084</t>
  </si>
  <si>
    <t>Orient Electric Apex-FX 1200mm Ceiling Fan</t>
  </si>
  <si>
    <t>IN-2024-1085</t>
  </si>
  <si>
    <t>Nivia Heavy Tennis Cricket Bat Full Size</t>
  </si>
  <si>
    <t>IN-2024-1086</t>
  </si>
  <si>
    <t>OnePlus Bullets Wireless Z2 Neckband</t>
  </si>
  <si>
    <t>IN-2024-1087</t>
  </si>
  <si>
    <t>IN-2024-1088</t>
  </si>
  <si>
    <t>Philips Multi-Grooming Kit Series 3000</t>
  </si>
  <si>
    <t>IN-2024-1089</t>
  </si>
  <si>
    <t>Nivea Soft Light Moisturizer 200ml</t>
  </si>
  <si>
    <t>IN-2024-1090</t>
  </si>
  <si>
    <t>Eureka Forbes Aquaguard Aura RO+UV Water Purifier</t>
  </si>
  <si>
    <t>IN-2024-1091</t>
  </si>
  <si>
    <t>Yonex Mavis 350 Nylon Shuttlecock Pack of 6</t>
  </si>
  <si>
    <t>IN-2024-1092</t>
  </si>
  <si>
    <t>Amazon Echo Dot 5th Gen Smart Speaker</t>
  </si>
  <si>
    <t>IN-2024-1093</t>
  </si>
  <si>
    <t>Lavie Women Betula Medium Tote Bag</t>
  </si>
  <si>
    <t>IN-2024-1094</t>
  </si>
  <si>
    <t>Wakefit Sleeping Pillows Set of 2</t>
  </si>
  <si>
    <t>IN-2024-1095</t>
  </si>
  <si>
    <t>Neutrogena Hydro Boost Water Gel 50g</t>
  </si>
  <si>
    <t>IN-2024-1096</t>
  </si>
  <si>
    <t>IN-2024-1097</t>
  </si>
  <si>
    <t>Boldfit Skipping Rope for Men &amp; Women</t>
  </si>
  <si>
    <t>IN-2024-1098</t>
  </si>
  <si>
    <t>IN-2024-1099</t>
  </si>
  <si>
    <t>FabIndia Cotton Hand Block Printed Kurta</t>
  </si>
  <si>
    <t>IN-2024-1100</t>
  </si>
  <si>
    <t>Story@Home 100% Cotton Double Bedsheet</t>
  </si>
  <si>
    <t>IN-2024-1101</t>
  </si>
  <si>
    <t>Maybelline New York Colossal Kajal</t>
  </si>
  <si>
    <t>IN-2024-1102</t>
  </si>
  <si>
    <t>IN-2024-1103</t>
  </si>
  <si>
    <t>Burnlab Adjustable Hand Grip Strengthener</t>
  </si>
  <si>
    <t>IN-2024-1104</t>
  </si>
  <si>
    <t>IN-2024-1105</t>
  </si>
  <si>
    <t>Symbol Premium Men Casual Chinos</t>
  </si>
  <si>
    <t>IN-2024-1106</t>
  </si>
  <si>
    <t>IN-2024-1107</t>
  </si>
  <si>
    <t>Tresemme Keratin Smooth Shampoo 580ml</t>
  </si>
  <si>
    <t>IN-2024-1108</t>
  </si>
  <si>
    <t>Prestige 3 Burner Gas Stove Glass Top</t>
  </si>
  <si>
    <t>IN-2024-1109</t>
  </si>
  <si>
    <t>Cosco Rio Football Size 5</t>
  </si>
  <si>
    <t>IN-2024-1110</t>
  </si>
  <si>
    <t>IN-2024-1111</t>
  </si>
  <si>
    <t>IN-2024-1112</t>
  </si>
  <si>
    <t>IN-2024-1113</t>
  </si>
  <si>
    <t>IN-2024-1114</t>
  </si>
  <si>
    <t>IN-2024-1115</t>
  </si>
  <si>
    <t>IN-2024-1116</t>
  </si>
  <si>
    <t>IN-2024-1117</t>
  </si>
  <si>
    <t>IN-2024-1118</t>
  </si>
  <si>
    <t>IN-2024-1119</t>
  </si>
  <si>
    <t>IN-2024-1120</t>
  </si>
  <si>
    <t>IN-2024-1121</t>
  </si>
  <si>
    <t>IN-2024-1122</t>
  </si>
  <si>
    <t>IN-2024-1123</t>
  </si>
  <si>
    <t>IN-2024-1124</t>
  </si>
  <si>
    <t>IN-2024-1125</t>
  </si>
  <si>
    <t>IN-2024-1126</t>
  </si>
  <si>
    <t>IN-2024-1127</t>
  </si>
  <si>
    <t>IN-2024-1128</t>
  </si>
  <si>
    <t>IN-2024-1129</t>
  </si>
  <si>
    <t>IN-2024-1130</t>
  </si>
  <si>
    <t>IN-2024-1131</t>
  </si>
  <si>
    <t>IN-2024-1132</t>
  </si>
  <si>
    <t>IN-2024-1133</t>
  </si>
  <si>
    <t>IN-2024-1134</t>
  </si>
  <si>
    <t>IN-2024-1135</t>
  </si>
  <si>
    <t>IN-2024-1136</t>
  </si>
  <si>
    <t>IN-2024-1137</t>
  </si>
  <si>
    <t>IN-2024-1138</t>
  </si>
  <si>
    <t>IN-2024-1139</t>
  </si>
  <si>
    <t>IN-2024-1140</t>
  </si>
  <si>
    <t>IN-2024-1141</t>
  </si>
  <si>
    <t>IN-2024-1142</t>
  </si>
  <si>
    <t>IN-2024-1143</t>
  </si>
  <si>
    <t>IN-2024-1144</t>
  </si>
  <si>
    <t>IN-2025-1145</t>
  </si>
  <si>
    <t>IN-2025-1146</t>
  </si>
  <si>
    <t>IN-2025-1147</t>
  </si>
  <si>
    <t>IN-2025-1148</t>
  </si>
  <si>
    <t>IN-2025-1149</t>
  </si>
  <si>
    <t>IN-2025-1150</t>
  </si>
  <si>
    <t>IN-2025-1151</t>
  </si>
  <si>
    <t>IN-2025-1152</t>
  </si>
  <si>
    <t>IN-2025-1153</t>
  </si>
  <si>
    <t>IN-2025-1154</t>
  </si>
  <si>
    <t>IN-2025-1155</t>
  </si>
  <si>
    <t>IN-2025-1156</t>
  </si>
  <si>
    <t>IN-2025-1157</t>
  </si>
  <si>
    <t>IN-2025-1158</t>
  </si>
  <si>
    <t>IN-2025-1159</t>
  </si>
  <si>
    <t>IN-2025-1160</t>
  </si>
  <si>
    <t>IN-2025-1161</t>
  </si>
  <si>
    <t>IN-2025-1162</t>
  </si>
  <si>
    <t>IN-2025-1163</t>
  </si>
  <si>
    <t>IN-2025-1164</t>
  </si>
  <si>
    <t>IN-2025-1165</t>
  </si>
  <si>
    <t>IN-2025-1166</t>
  </si>
  <si>
    <t>IN-2025-1167</t>
  </si>
  <si>
    <t>IN-2025-1168</t>
  </si>
  <si>
    <t>IN-2025-1169</t>
  </si>
  <si>
    <t>IN-2025-1170</t>
  </si>
  <si>
    <t>IN-2025-1171</t>
  </si>
  <si>
    <t>IN-2025-1172</t>
  </si>
  <si>
    <t>IN-2025-1173</t>
  </si>
  <si>
    <t>IN-2025-1174</t>
  </si>
  <si>
    <t>IN-2025-1175</t>
  </si>
  <si>
    <t>IN-2025-1176</t>
  </si>
  <si>
    <t>IN-2025-1177</t>
  </si>
  <si>
    <t>IN-2025-1178</t>
  </si>
  <si>
    <t>IN-2025-1179</t>
  </si>
  <si>
    <t>IN-2025-1180</t>
  </si>
  <si>
    <t>IN-2025-1181</t>
  </si>
  <si>
    <t>IN-2025-1182</t>
  </si>
  <si>
    <t>IN-2025-1183</t>
  </si>
  <si>
    <t>IN-2025-1184</t>
  </si>
  <si>
    <t>IN-2025-1185</t>
  </si>
  <si>
    <t>IN-2025-1186</t>
  </si>
  <si>
    <t>IN-2025-1187</t>
  </si>
  <si>
    <t>IN-2025-1188</t>
  </si>
  <si>
    <t>IN-2025-1189</t>
  </si>
  <si>
    <t>IN-2025-1190</t>
  </si>
  <si>
    <t>IN-2025-1191</t>
  </si>
  <si>
    <t>IN-2025-1192</t>
  </si>
  <si>
    <t>IN-2025-1193</t>
  </si>
  <si>
    <t>IN-2025-1194</t>
  </si>
  <si>
    <t>IN-2025-1195</t>
  </si>
  <si>
    <t>IN-2025-1196</t>
  </si>
  <si>
    <t>IN-2025-1197</t>
  </si>
  <si>
    <t>IN-2025-1198</t>
  </si>
  <si>
    <t>IN-2025-1199</t>
  </si>
  <si>
    <t>IN-2025-1200</t>
  </si>
  <si>
    <t>IN-2025-1201</t>
  </si>
  <si>
    <t>IN-2025-1202</t>
  </si>
  <si>
    <t>IN-2025-1203</t>
  </si>
  <si>
    <t>IN-2025-1204</t>
  </si>
  <si>
    <t>IN-2025-1205</t>
  </si>
  <si>
    <t>IN-2025-1206</t>
  </si>
  <si>
    <t>IN-2025-1207</t>
  </si>
  <si>
    <t>IN-2025-1208</t>
  </si>
  <si>
    <t>IN-2025-1209</t>
  </si>
  <si>
    <t>IN-2025-1210</t>
  </si>
  <si>
    <t>IN-2025-1211</t>
  </si>
  <si>
    <t>IN-2025-1212</t>
  </si>
  <si>
    <t>IN-2025-1213</t>
  </si>
  <si>
    <t>IN-2025-1214</t>
  </si>
  <si>
    <t>IN-2025-1215</t>
  </si>
  <si>
    <t>IN-2025-1216</t>
  </si>
  <si>
    <t>IN-2025-1217</t>
  </si>
  <si>
    <t>IN-2025-1218</t>
  </si>
  <si>
    <t>IN-2025-1219</t>
  </si>
  <si>
    <t>IN-2025-1220</t>
  </si>
  <si>
    <t>IN-2025-1221</t>
  </si>
  <si>
    <t>IN-2025-1222</t>
  </si>
  <si>
    <t>IN-2025-1223</t>
  </si>
  <si>
    <t>IN-2025-1224</t>
  </si>
  <si>
    <t>IN-2025-1225</t>
  </si>
  <si>
    <t>IN-2025-1226</t>
  </si>
  <si>
    <t>IN-2025-1227</t>
  </si>
  <si>
    <t>IN-2025-1228</t>
  </si>
  <si>
    <t>IN-2025-1229</t>
  </si>
  <si>
    <t>IN-2025-1230</t>
  </si>
  <si>
    <t>IN-2025-1231</t>
  </si>
  <si>
    <t>IN-2025-1232</t>
  </si>
  <si>
    <t>IN-2025-1233</t>
  </si>
  <si>
    <t>IN-2025-1234</t>
  </si>
  <si>
    <t>IN-2025-1235</t>
  </si>
  <si>
    <t>IN-2025-1236</t>
  </si>
  <si>
    <t>IN-2025-1237</t>
  </si>
  <si>
    <t>IN-2025-1238</t>
  </si>
  <si>
    <t>IN-2025-1239</t>
  </si>
  <si>
    <t>IN-2025-1240</t>
  </si>
  <si>
    <t>IN-2025-1241</t>
  </si>
  <si>
    <t>IN-2025-1242</t>
  </si>
  <si>
    <t>IN-2025-1243</t>
  </si>
  <si>
    <t>IN-2025-1244</t>
  </si>
  <si>
    <t>IN-2025-1245</t>
  </si>
  <si>
    <t>IN-2025-1246</t>
  </si>
  <si>
    <t>IN-2025-1247</t>
  </si>
  <si>
    <t>IN-2025-1248</t>
  </si>
  <si>
    <t>IN-2025-1249</t>
  </si>
  <si>
    <t>IN-2025-1250</t>
  </si>
  <si>
    <t>IN-2025-1251</t>
  </si>
  <si>
    <t>IN-2025-1252</t>
  </si>
  <si>
    <t>IN-2025-1253</t>
  </si>
  <si>
    <t>IN-2025-1254</t>
  </si>
  <si>
    <t>IN-2025-1255</t>
  </si>
  <si>
    <t>IN-2025-1256</t>
  </si>
  <si>
    <t>IN-2025-1257</t>
  </si>
  <si>
    <t>IN-2025-1258</t>
  </si>
  <si>
    <t>IN-2025-1259</t>
  </si>
  <si>
    <t>IN-2025-1260</t>
  </si>
  <si>
    <t>IN-2025-1261</t>
  </si>
  <si>
    <t>IN-2025-1262</t>
  </si>
  <si>
    <t>IN-2025-1263</t>
  </si>
  <si>
    <t>IN-2025-1264</t>
  </si>
  <si>
    <t>IN-2025-1265</t>
  </si>
  <si>
    <t>IN-2025-1266</t>
  </si>
  <si>
    <t>IN-2025-1267</t>
  </si>
  <si>
    <t>IN-2025-1268</t>
  </si>
  <si>
    <t>IN-2025-1269</t>
  </si>
  <si>
    <t>IN-2025-1270</t>
  </si>
  <si>
    <t>IN-2025-1271</t>
  </si>
  <si>
    <t>IN-2025-1272</t>
  </si>
  <si>
    <t>IN-2025-1273</t>
  </si>
  <si>
    <t>IN-2025-1274</t>
  </si>
  <si>
    <t>IN-2025-1275</t>
  </si>
  <si>
    <t>IN-2025-1276</t>
  </si>
  <si>
    <t>IN-2025-1277</t>
  </si>
  <si>
    <t>IN-2025-1278</t>
  </si>
  <si>
    <t>IN-2025-1279</t>
  </si>
  <si>
    <t>IN-2025-1280</t>
  </si>
  <si>
    <t>IN-2025-1281</t>
  </si>
  <si>
    <t>IN-2025-1282</t>
  </si>
  <si>
    <t>IN-2025-1283</t>
  </si>
  <si>
    <t>IN-2025-1284</t>
  </si>
  <si>
    <t>IN-2025-1285</t>
  </si>
  <si>
    <t>IN-2025-1286</t>
  </si>
  <si>
    <t>IN-2025-1287</t>
  </si>
  <si>
    <t>IN-2025-1288</t>
  </si>
  <si>
    <t>IN-2025-1289</t>
  </si>
  <si>
    <t>IN-2025-1290</t>
  </si>
  <si>
    <t>IN-2026-1291</t>
  </si>
  <si>
    <t>IN-2026-1292</t>
  </si>
  <si>
    <t>IN-2026-1293</t>
  </si>
  <si>
    <t>IN-2026-1294</t>
  </si>
  <si>
    <t>IN-2026-1295</t>
  </si>
  <si>
    <t>IN-2026-1296</t>
  </si>
  <si>
    <t>IN-2026-1297</t>
  </si>
  <si>
    <t>IN-2026-1298</t>
  </si>
  <si>
    <t>IN-2026-1299</t>
  </si>
  <si>
    <t>IN-2026-1300</t>
  </si>
  <si>
    <t>IN-2026-1301</t>
  </si>
  <si>
    <t>IN-2026-1302</t>
  </si>
  <si>
    <t>IN-2026-1303</t>
  </si>
  <si>
    <t>IN-2026-1304</t>
  </si>
  <si>
    <t>IN-2026-1305</t>
  </si>
  <si>
    <t>IN-2026-1306</t>
  </si>
  <si>
    <t>IN-2026-1307</t>
  </si>
  <si>
    <t>IN-2026-1308</t>
  </si>
  <si>
    <t>IN-2026-1309</t>
  </si>
  <si>
    <t>IN-2026-1310</t>
  </si>
  <si>
    <t>IN-2026-1311</t>
  </si>
  <si>
    <t>IN-2026-1312</t>
  </si>
  <si>
    <t>IN-2026-1313</t>
  </si>
  <si>
    <t>IN-2026-1314</t>
  </si>
  <si>
    <t>IN-2026-1315</t>
  </si>
  <si>
    <t>IN-2026-1316</t>
  </si>
  <si>
    <t>IN-2026-1317</t>
  </si>
  <si>
    <t>IN-2026-1318</t>
  </si>
  <si>
    <t>IN-2026-1319</t>
  </si>
  <si>
    <t>IN-2026-1320</t>
  </si>
  <si>
    <t>IN-2026-1321</t>
  </si>
  <si>
    <t>IN-2026-1322</t>
  </si>
  <si>
    <t>IN-2026-1323</t>
  </si>
  <si>
    <t>IN-2026-1324</t>
  </si>
  <si>
    <t>IN-2026-1325</t>
  </si>
  <si>
    <t>IN-2026-1326</t>
  </si>
  <si>
    <t>IN-2026-1327</t>
  </si>
  <si>
    <t>IN-2026-1328</t>
  </si>
  <si>
    <t>IN-2026-1329</t>
  </si>
  <si>
    <t>IN-2026-1330</t>
  </si>
  <si>
    <t>IN-2026-1331</t>
  </si>
  <si>
    <t>IN-2026-1332</t>
  </si>
  <si>
    <t>IN-2026-1333</t>
  </si>
  <si>
    <t>IN-2026-1334</t>
  </si>
  <si>
    <t>IN-2026-1335</t>
  </si>
  <si>
    <t>IN-2026-1336</t>
  </si>
  <si>
    <t>IN-2026-1337</t>
  </si>
  <si>
    <t>IN-2026-1338</t>
  </si>
  <si>
    <t>IN-2026-1339</t>
  </si>
  <si>
    <t>IN-2026-1340</t>
  </si>
  <si>
    <t>IN-2026-1341</t>
  </si>
  <si>
    <t>IN-2026-1342</t>
  </si>
  <si>
    <t>IN-2026-1343</t>
  </si>
  <si>
    <t>IN-2026-1344</t>
  </si>
  <si>
    <t>IN-2026-1345</t>
  </si>
  <si>
    <t>IN-2026-1346</t>
  </si>
  <si>
    <t>IN-2026-1347</t>
  </si>
  <si>
    <t>IN-2026-1348</t>
  </si>
  <si>
    <t>IN-2026-1349</t>
  </si>
  <si>
    <t>IN-2026-1350</t>
  </si>
  <si>
    <t>IN-2026-1351</t>
  </si>
  <si>
    <t>IN-2026-1352</t>
  </si>
  <si>
    <t>IN-2026-1353</t>
  </si>
  <si>
    <t>IN-2026-1354</t>
  </si>
  <si>
    <t>IN-2026-1355</t>
  </si>
  <si>
    <t>IN-2026-1356</t>
  </si>
  <si>
    <t>IN-2026-1357</t>
  </si>
  <si>
    <t>IN-2026-1358</t>
  </si>
  <si>
    <t>IN-2026-1359</t>
  </si>
  <si>
    <t>IN-2026-1360</t>
  </si>
  <si>
    <t>IN-2026-1361</t>
  </si>
  <si>
    <t>IN-2026-1362</t>
  </si>
  <si>
    <t>IN-2026-1363</t>
  </si>
  <si>
    <t>IN-2026-1364</t>
  </si>
  <si>
    <t>IN-2026-1365</t>
  </si>
  <si>
    <t>IN-2026-1366</t>
  </si>
  <si>
    <t>IN-2026-1367</t>
  </si>
  <si>
    <t>IN-2026-1368</t>
  </si>
  <si>
    <t>IN-2026-1369</t>
  </si>
  <si>
    <t>IN-2026-1370</t>
  </si>
  <si>
    <t>IN-2026-1371</t>
  </si>
  <si>
    <t>IN-2026-1372</t>
  </si>
  <si>
    <t>IN-2026-1373</t>
  </si>
  <si>
    <t>IN-2026-1374</t>
  </si>
  <si>
    <t>IN-2026-1375</t>
  </si>
  <si>
    <t>IN-2026-1376</t>
  </si>
  <si>
    <t>IN-2026-1377</t>
  </si>
  <si>
    <t>IN-2026-1378</t>
  </si>
  <si>
    <t>IN-2026-1379</t>
  </si>
  <si>
    <t>IN-2026-1380</t>
  </si>
  <si>
    <t>IN-2026-1381</t>
  </si>
  <si>
    <t>IN-2026-1382</t>
  </si>
  <si>
    <t>IN-2026-1383</t>
  </si>
  <si>
    <t>IN-2026-1384</t>
  </si>
  <si>
    <t>IN-2026-1385</t>
  </si>
  <si>
    <t>IN-2026-1386</t>
  </si>
  <si>
    <t>IN-2026-1387</t>
  </si>
  <si>
    <t>IN-2026-1388</t>
  </si>
  <si>
    <t>IN-2026-1389</t>
  </si>
  <si>
    <t>IN-2026-1390</t>
  </si>
  <si>
    <t>IN-2026-1391</t>
  </si>
  <si>
    <t>IN-2026-1392</t>
  </si>
  <si>
    <t>IN-2026-1393</t>
  </si>
  <si>
    <t>IN-2026-1394</t>
  </si>
  <si>
    <t>IN-2026-1395</t>
  </si>
  <si>
    <t>IN-2026-1396</t>
  </si>
  <si>
    <t>IN-2026-1397</t>
  </si>
  <si>
    <t>IN-2026-1398</t>
  </si>
  <si>
    <t>IN-2026-1399</t>
  </si>
  <si>
    <t>IN-2026-1400</t>
  </si>
  <si>
    <t>IN-2026-1401</t>
  </si>
  <si>
    <t>IN-2026-1402</t>
  </si>
  <si>
    <t>IN-2026-1403</t>
  </si>
  <si>
    <t>IN-2026-1404</t>
  </si>
  <si>
    <t>IN-2026-1405</t>
  </si>
  <si>
    <t>IN-2026-1406</t>
  </si>
  <si>
    <t>IN-2026-1407</t>
  </si>
  <si>
    <t>IN-2026-1408</t>
  </si>
  <si>
    <t>IN-2026-1409</t>
  </si>
  <si>
    <t>IN-2026-1410</t>
  </si>
  <si>
    <t>IN-2026-1411</t>
  </si>
  <si>
    <t>IN-2026-1412</t>
  </si>
  <si>
    <t>IN-2026-1413</t>
  </si>
  <si>
    <t>IN-2026-1414</t>
  </si>
  <si>
    <t>IN-2026-1415</t>
  </si>
  <si>
    <t>IN-2026-1416</t>
  </si>
  <si>
    <t>IN-2026-1417</t>
  </si>
  <si>
    <t>IN-2026-1418</t>
  </si>
  <si>
    <t>IN-2026-1419</t>
  </si>
  <si>
    <t>IN-2026-1420</t>
  </si>
  <si>
    <t>IN-2026-1421</t>
  </si>
  <si>
    <t>IN-2026-1422</t>
  </si>
  <si>
    <t>IN-2026-1423</t>
  </si>
  <si>
    <t>IN-2026-1424</t>
  </si>
  <si>
    <t>IN-2026-1425</t>
  </si>
  <si>
    <t>IN-2026-1426</t>
  </si>
  <si>
    <t>IN-2026-1427</t>
  </si>
  <si>
    <t>IN-2026-1428</t>
  </si>
  <si>
    <t>IN-2026-1429</t>
  </si>
  <si>
    <t>IN-2026-1430</t>
  </si>
  <si>
    <t>IN-2026-1431</t>
  </si>
  <si>
    <t>IN-2026-1432</t>
  </si>
  <si>
    <t>IN-2026-1433</t>
  </si>
  <si>
    <t>IN-2026-1434</t>
  </si>
  <si>
    <t>IN-2026-1435</t>
  </si>
  <si>
    <t>IN-2026-1436</t>
  </si>
  <si>
    <t>IN-2026-1437</t>
  </si>
  <si>
    <t>IN-2026-1438</t>
  </si>
  <si>
    <t>IN-2026-1439</t>
  </si>
  <si>
    <t>IN-2026-1440</t>
  </si>
  <si>
    <t>IN-2026-1441</t>
  </si>
  <si>
    <t>IN-2026-1442</t>
  </si>
  <si>
    <t>IN-2026-1443</t>
  </si>
  <si>
    <t>IN-2026-1444</t>
  </si>
  <si>
    <t>IN-2026-1445</t>
  </si>
  <si>
    <t>IN-2026-1446</t>
  </si>
  <si>
    <t>IN-2026-1447</t>
  </si>
  <si>
    <t>IN-2026-1448</t>
  </si>
  <si>
    <t>IN-2026-1449</t>
  </si>
  <si>
    <t>IN-2026-1450</t>
  </si>
  <si>
    <t>IN-2026-1451</t>
  </si>
  <si>
    <t>IN-2026-1452</t>
  </si>
  <si>
    <t>IN-2026-1453</t>
  </si>
  <si>
    <t>IN-2026-1454</t>
  </si>
  <si>
    <t>IN-2026-1455</t>
  </si>
  <si>
    <t>IN-2026-1456</t>
  </si>
  <si>
    <t>IN-2026-1457</t>
  </si>
  <si>
    <t>IN-2026-1458</t>
  </si>
  <si>
    <t>IN-2026-1459</t>
  </si>
  <si>
    <t>IN-2026-1460</t>
  </si>
  <si>
    <t>IN-2026-1461</t>
  </si>
  <si>
    <t>IN-2026-1462</t>
  </si>
  <si>
    <t>IN-2026-1463</t>
  </si>
  <si>
    <t>IN-2026-1464</t>
  </si>
  <si>
    <t>IN-2026-1465</t>
  </si>
  <si>
    <t>IN-2026-1466</t>
  </si>
  <si>
    <t>IN-2026-1467</t>
  </si>
  <si>
    <t>IN-2026-1468</t>
  </si>
  <si>
    <t>IN-2026-1469</t>
  </si>
  <si>
    <t>IN-2026-1470</t>
  </si>
  <si>
    <t>IN-2026-1471</t>
  </si>
  <si>
    <t>IN-2026-1472</t>
  </si>
  <si>
    <t>IN-2026-1473</t>
  </si>
  <si>
    <t>IN-2026-1474</t>
  </si>
  <si>
    <t>IN-2026-1475</t>
  </si>
  <si>
    <t>IN-2026-1476</t>
  </si>
  <si>
    <t>IN-2026-1477</t>
  </si>
  <si>
    <t>IN-2026-1478</t>
  </si>
  <si>
    <t>IN-2026-1479</t>
  </si>
  <si>
    <t>IN-2026-1480</t>
  </si>
  <si>
    <t>IN-2026-1481</t>
  </si>
  <si>
    <t>IN-2026-1482</t>
  </si>
  <si>
    <t>IN-2026-1483</t>
  </si>
  <si>
    <t>IN-2026-1484</t>
  </si>
  <si>
    <t>IN-2026-1485</t>
  </si>
  <si>
    <t>IN-2026-1486</t>
  </si>
  <si>
    <t>IN-2026-1487</t>
  </si>
  <si>
    <t>IN-2026-1488</t>
  </si>
  <si>
    <t>IN-2026-1489</t>
  </si>
  <si>
    <t>IN-2026-1490</t>
  </si>
  <si>
    <t>IN-2026-1491</t>
  </si>
  <si>
    <t>IN-2026-1492</t>
  </si>
  <si>
    <t>IN-2026-1493</t>
  </si>
  <si>
    <t>IN-2026-1494</t>
  </si>
  <si>
    <t>IN-2026-1495</t>
  </si>
  <si>
    <t>IN-2026-1496</t>
  </si>
  <si>
    <t>IN-2026-1497</t>
  </si>
  <si>
    <t>IN-2026-1498</t>
  </si>
  <si>
    <t>IN-2026-1499</t>
  </si>
  <si>
    <t>IN-2026-1500</t>
  </si>
  <si>
    <t>AMAZON INDIA SALES MANAGEMENT DASHBOARD | EXECUTIVE SUMMARY</t>
  </si>
  <si>
    <t>Reporting Period: 2024 – 2026 | Currency: INR (₹) | Data Source: Amazon Seller Central | Prepared for Power BI Executive Review</t>
  </si>
  <si>
    <t>TOTAL REVENUE</t>
  </si>
  <si>
    <t>TOTAL UNITS SOLD</t>
  </si>
  <si>
    <t>NET PROFIT MARGIN</t>
  </si>
  <si>
    <t>ORDER RETURN RATE</t>
  </si>
  <si>
    <t>FULFILLMENT &amp; ORDER STATUS ANALYSIS</t>
  </si>
  <si>
    <t>SALES &amp; PROFIT TREND BY PERIOD (2024–2026)</t>
  </si>
  <si>
    <t>Channel / Order Status</t>
  </si>
  <si>
    <t>Orders</t>
  </si>
  <si>
    <t>Units</t>
  </si>
  <si>
    <t>Revenue (INR)</t>
  </si>
  <si>
    <t>Profit (INR)</t>
  </si>
  <si>
    <t>Delivery / Share Rate</t>
  </si>
  <si>
    <t>Sales Period</t>
  </si>
  <si>
    <t>Profit Margin</t>
  </si>
  <si>
    <t>Fulfilled by Amazon (FBA)</t>
  </si>
  <si>
    <t>2024 H1 (Jan–Jun 2024)</t>
  </si>
  <si>
    <t>Merchant Fulfilled (FBM)</t>
  </si>
  <si>
    <t>2024 H2 (Jul–Dec 2024)</t>
  </si>
  <si>
    <t>Status: Delivered Orders</t>
  </si>
  <si>
    <t>2025 H1 (Jan–Jun 2025)</t>
  </si>
  <si>
    <t>Status: Returned Orders</t>
  </si>
  <si>
    <t>2025 H2 (Jul–Dec 2025)</t>
  </si>
  <si>
    <t>Status: Cancelled &amp; Pending</t>
  </si>
  <si>
    <t>2026 YTD (Jan–Mar 2026)</t>
  </si>
  <si>
    <t>Total / Portfolio Overview</t>
  </si>
  <si>
    <t>Total Period Performance</t>
  </si>
  <si>
    <t>CATEGORY PERFORMANCE BREAKDOWN</t>
  </si>
  <si>
    <t>REGIONAL SALES BY STATE (TOP STATES &amp; OTHER)</t>
  </si>
  <si>
    <t>Total Revenue (INR)</t>
  </si>
  <si>
    <t>Net Profit (INR)</t>
  </si>
  <si>
    <t>State / Territory</t>
  </si>
  <si>
    <t>Other States</t>
  </si>
  <si>
    <t>Total Category Sales</t>
  </si>
  <si>
    <t>Total Regional Sales</t>
  </si>
  <si>
    <t>* Metrics reflect Amazon India transactions across FY 2024–2026. All financial values in INR (₹). Formatted for seamless ingestion into Power BI data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</si>
</sst>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\-mm\-dd"/>
    <numFmt numFmtId="165" formatCode="\₹#,##0.00"/>
    <numFmt numFmtId="166" formatCode="0.0%"/>
    <numFmt numFmtId="167" formatCode="&quot;₹&quot;#,##0.00"/>
    <numFmt numFmtId="168" formatCode="\₹#,##0.00;\(\₹#,##0.00\);\₹0.00"/>
  </numFmts>
  <fonts count="15">
    <font>
      <sz val="10"/>
      <color rgb="FF000000"/>
      <name val="Arial"/>
      <scheme val="minor"/>
    </font>
    <font>
      <b/>
      <sz val="14"/>
      <color rgb="FFFFFFFF"/>
      <name val="Roboto"/>
    </font>
    <font>
      <sz val="10"/>
      <color rgb="FF3C4858"/>
      <name val="Roboto"/>
    </font>
    <font>
      <b/>
      <sz val="10"/>
      <color rgb="FFFFFFFF"/>
      <name val="Roboto"/>
    </font>
    <font>
      <b/>
      <sz val="10"/>
      <color rgb="FF3C4858"/>
      <name val="Roboto"/>
    </font>
    <font>
      <sz val="10"/>
      <name val="Arial"/>
    </font>
    <font>
      <sz val="10"/>
      <color theme="1"/>
      <name val="Roboto"/>
    </font>
    <font>
      <b/>
      <sz val="16"/>
      <color rgb="FF1A4974"/>
      <name val="Roboto"/>
    </font>
    <font>
      <b/>
      <sz val="11"/>
      <color rgb="FFFFFFFF"/>
      <name val="Roboto"/>
    </font>
    <font>
      <b/>
      <sz val="9"/>
      <color rgb="FF3C4858"/>
      <name val="Roboto"/>
    </font>
    <font>
      <sz val="9"/>
      <color theme="1"/>
      <name val="Roboto"/>
    </font>
    <font>
      <b/>
      <sz val="9"/>
      <color theme="1"/>
      <name val="Roboto"/>
    </font>
    <font>
      <i/>
      <sz val="8"/>
      <color rgb="FF73777E"/>
      <name val="Roboto"/>
    </font>
    <font>
      <b/>
      <sz val="10"/>
      <color rgb="FF000000"/>
      <name val="Arial"/>
      <scheme val="minor"/>
    </font>
    <font>
      <b/>
      <sz val="11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6618E"/>
        <bgColor rgb="FF36618E"/>
      </patternFill>
    </fill>
    <fill>
      <patternFill patternType="solid">
        <fgColor rgb="FFD6E3F7"/>
        <bgColor rgb="FFD6E3F7"/>
      </patternFill>
    </fill>
    <fill>
      <patternFill patternType="solid">
        <fgColor rgb="FF222E3D"/>
        <bgColor rgb="FF222E3D"/>
      </patternFill>
    </fill>
    <fill>
      <patternFill patternType="solid">
        <fgColor rgb="FFFFFFFF"/>
        <bgColor rgb="FFFFFFFF"/>
      </patternFill>
    </fill>
    <fill>
      <patternFill patternType="solid">
        <fgColor rgb="FFF7F9FF"/>
        <bgColor rgb="FFF7F9FF"/>
      </patternFill>
    </fill>
    <fill>
      <patternFill patternType="solid">
        <fgColor rgb="FFECEDF4"/>
        <bgColor rgb="FFECEDF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A0ABBE"/>
      </left>
      <right/>
      <top style="thin">
        <color rgb="FFA0ABBE"/>
      </top>
      <bottom style="thin">
        <color rgb="FFD6E3F7"/>
      </bottom>
      <diagonal/>
    </border>
    <border>
      <left/>
      <right/>
      <top style="thin">
        <color rgb="FFA0ABBE"/>
      </top>
      <bottom style="thin">
        <color rgb="FFD6E3F7"/>
      </bottom>
      <diagonal/>
    </border>
    <border>
      <left/>
      <right style="thin">
        <color rgb="FFA0ABBE"/>
      </right>
      <top style="thin">
        <color rgb="FFA0ABBE"/>
      </top>
      <bottom style="thin">
        <color rgb="FFD6E3F7"/>
      </bottom>
      <diagonal/>
    </border>
    <border>
      <left style="thin">
        <color rgb="FFA0ABBE"/>
      </left>
      <right/>
      <top style="thin">
        <color rgb="FFD6E3F7"/>
      </top>
      <bottom style="thin">
        <color rgb="FFA0ABBE"/>
      </bottom>
      <diagonal/>
    </border>
    <border>
      <left/>
      <right/>
      <top style="thin">
        <color rgb="FFD6E3F7"/>
      </top>
      <bottom style="thin">
        <color rgb="FFA0ABBE"/>
      </bottom>
      <diagonal/>
    </border>
    <border>
      <left/>
      <right style="thin">
        <color rgb="FFA0ABBE"/>
      </right>
      <top style="thin">
        <color rgb="FFD6E3F7"/>
      </top>
      <bottom style="thin">
        <color rgb="FFA0ABBE"/>
      </bottom>
      <diagonal/>
    </border>
    <border>
      <left style="thin">
        <color rgb="FFA0ABBE"/>
      </left>
      <right/>
      <top style="thin">
        <color rgb="FFA0ABBE"/>
      </top>
      <bottom style="thin">
        <color rgb="FFE0E5ED"/>
      </bottom>
      <diagonal/>
    </border>
    <border>
      <left/>
      <right/>
      <top style="thin">
        <color rgb="FFA0ABBE"/>
      </top>
      <bottom style="thin">
        <color rgb="FFE0E5ED"/>
      </bottom>
      <diagonal/>
    </border>
    <border>
      <left/>
      <right style="thin">
        <color rgb="FFA0ABBE"/>
      </right>
      <top style="thin">
        <color rgb="FFA0ABBE"/>
      </top>
      <bottom style="thin">
        <color rgb="FFE0E5ED"/>
      </bottom>
      <diagonal/>
    </border>
    <border>
      <left style="thin">
        <color rgb="FFA0ABBE"/>
      </left>
      <right/>
      <top style="thin">
        <color rgb="FFE0E5ED"/>
      </top>
      <bottom style="thin">
        <color rgb="FFE0E5ED"/>
      </bottom>
      <diagonal/>
    </border>
    <border>
      <left/>
      <right/>
      <top style="thin">
        <color rgb="FFE0E5ED"/>
      </top>
      <bottom style="thin">
        <color rgb="FFE0E5ED"/>
      </bottom>
      <diagonal/>
    </border>
    <border>
      <left/>
      <right style="thin">
        <color rgb="FFA0ABBE"/>
      </right>
      <top style="thin">
        <color rgb="FFE0E5ED"/>
      </top>
      <bottom style="thin">
        <color rgb="FFE0E5ED"/>
      </bottom>
      <diagonal/>
    </border>
    <border>
      <left style="thin">
        <color rgb="FFA0ABBE"/>
      </left>
      <right/>
      <top style="thin">
        <color rgb="FFE0E5ED"/>
      </top>
      <bottom/>
      <diagonal/>
    </border>
    <border>
      <left/>
      <right/>
      <top style="thin">
        <color rgb="FFE0E5ED"/>
      </top>
      <bottom/>
      <diagonal/>
    </border>
    <border>
      <left/>
      <right style="thin">
        <color rgb="FFA0ABBE"/>
      </right>
      <top style="thin">
        <color rgb="FFE0E5ED"/>
      </top>
      <bottom/>
      <diagonal/>
    </border>
    <border>
      <left style="thin">
        <color rgb="FFA0ABBE"/>
      </left>
      <right/>
      <top style="thin">
        <color rgb="FF72777F"/>
      </top>
      <bottom style="double">
        <color rgb="FF72777F"/>
      </bottom>
      <diagonal/>
    </border>
    <border>
      <left/>
      <right/>
      <top style="thin">
        <color rgb="FF72777F"/>
      </top>
      <bottom style="double">
        <color rgb="FF72777F"/>
      </bottom>
      <diagonal/>
    </border>
    <border>
      <left/>
      <right style="thin">
        <color rgb="FFA0ABBE"/>
      </right>
      <top style="thin">
        <color rgb="FF72777F"/>
      </top>
      <bottom style="double">
        <color rgb="FF72777F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7" fillId="5" borderId="0" xfId="0" applyFont="1" applyFill="1" applyAlignment="1">
      <alignment horizontal="center" vertical="center"/>
    </xf>
    <xf numFmtId="168" fontId="6" fillId="0" borderId="0" xfId="0" applyNumberFormat="1" applyFont="1" applyAlignment="1">
      <alignment horizontal="right" vertical="center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right" vertical="center"/>
    </xf>
    <xf numFmtId="0" fontId="9" fillId="3" borderId="13" xfId="0" applyFont="1" applyFill="1" applyBorder="1" applyAlignment="1">
      <alignment horizontal="right" vertical="center"/>
    </xf>
    <xf numFmtId="0" fontId="10" fillId="6" borderId="11" xfId="0" applyFont="1" applyFill="1" applyBorder="1" applyAlignment="1">
      <alignment horizontal="left" vertical="center"/>
    </xf>
    <xf numFmtId="3" fontId="10" fillId="6" borderId="12" xfId="0" applyNumberFormat="1" applyFont="1" applyFill="1" applyBorder="1" applyAlignment="1">
      <alignment horizontal="right" vertical="center"/>
    </xf>
    <xf numFmtId="167" fontId="10" fillId="6" borderId="12" xfId="0" applyNumberFormat="1" applyFont="1" applyFill="1" applyBorder="1" applyAlignment="1">
      <alignment horizontal="right" vertical="center"/>
    </xf>
    <xf numFmtId="166" fontId="10" fillId="6" borderId="13" xfId="0" applyNumberFormat="1" applyFont="1" applyFill="1" applyBorder="1" applyAlignment="1">
      <alignment horizontal="right" vertical="center"/>
    </xf>
    <xf numFmtId="0" fontId="10" fillId="5" borderId="11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3" fontId="10" fillId="5" borderId="1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167" fontId="10" fillId="5" borderId="12" xfId="0" applyNumberFormat="1" applyFont="1" applyFill="1" applyBorder="1" applyAlignment="1">
      <alignment horizontal="right" vertical="center"/>
    </xf>
    <xf numFmtId="166" fontId="10" fillId="5" borderId="13" xfId="0" applyNumberFormat="1" applyFont="1" applyFill="1" applyBorder="1" applyAlignment="1">
      <alignment horizontal="right" vertical="center"/>
    </xf>
    <xf numFmtId="0" fontId="10" fillId="6" borderId="14" xfId="0" applyFont="1" applyFill="1" applyBorder="1" applyAlignment="1">
      <alignment horizontal="left" vertical="center"/>
    </xf>
    <xf numFmtId="3" fontId="10" fillId="6" borderId="15" xfId="0" applyNumberFormat="1" applyFont="1" applyFill="1" applyBorder="1" applyAlignment="1">
      <alignment horizontal="right" vertical="center"/>
    </xf>
    <xf numFmtId="167" fontId="10" fillId="6" borderId="15" xfId="0" applyNumberFormat="1" applyFont="1" applyFill="1" applyBorder="1" applyAlignment="1">
      <alignment horizontal="right" vertical="center"/>
    </xf>
    <xf numFmtId="166" fontId="10" fillId="6" borderId="16" xfId="0" applyNumberFormat="1" applyFont="1" applyFill="1" applyBorder="1" applyAlignment="1">
      <alignment horizontal="right" vertical="center"/>
    </xf>
    <xf numFmtId="0" fontId="11" fillId="7" borderId="17" xfId="0" applyFont="1" applyFill="1" applyBorder="1" applyAlignment="1">
      <alignment horizontal="left" vertical="center"/>
    </xf>
    <xf numFmtId="3" fontId="11" fillId="7" borderId="18" xfId="0" applyNumberFormat="1" applyFont="1" applyFill="1" applyBorder="1" applyAlignment="1">
      <alignment horizontal="right" vertical="center"/>
    </xf>
    <xf numFmtId="167" fontId="11" fillId="7" borderId="18" xfId="0" applyNumberFormat="1" applyFont="1" applyFill="1" applyBorder="1" applyAlignment="1">
      <alignment horizontal="right" vertical="center"/>
    </xf>
    <xf numFmtId="166" fontId="11" fillId="7" borderId="19" xfId="0" applyNumberFormat="1" applyFont="1" applyFill="1" applyBorder="1" applyAlignment="1">
      <alignment horizontal="right" vertical="center"/>
    </xf>
    <xf numFmtId="0" fontId="10" fillId="5" borderId="14" xfId="0" applyFont="1" applyFill="1" applyBorder="1" applyAlignment="1">
      <alignment horizontal="left" vertical="center"/>
    </xf>
    <xf numFmtId="3" fontId="10" fillId="5" borderId="15" xfId="0" applyNumberFormat="1" applyFont="1" applyFill="1" applyBorder="1" applyAlignment="1">
      <alignment horizontal="right" vertical="center"/>
    </xf>
    <xf numFmtId="167" fontId="10" fillId="5" borderId="15" xfId="0" applyNumberFormat="1" applyFont="1" applyFill="1" applyBorder="1" applyAlignment="1">
      <alignment horizontal="right" vertical="center"/>
    </xf>
    <xf numFmtId="166" fontId="10" fillId="5" borderId="16" xfId="0" applyNumberFormat="1" applyFont="1" applyFill="1" applyBorder="1" applyAlignment="1">
      <alignment horizontal="right" vertical="center"/>
    </xf>
    <xf numFmtId="0" fontId="0" fillId="0" borderId="0" xfId="0" applyFont="1" applyAlignment="1"/>
    <xf numFmtId="0" fontId="0" fillId="0" borderId="20" xfId="0" applyFont="1" applyBorder="1" applyAlignment="1"/>
    <xf numFmtId="165" fontId="0" fillId="0" borderId="21" xfId="0" applyNumberFormat="1" applyFont="1" applyBorder="1" applyAlignment="1"/>
    <xf numFmtId="0" fontId="0" fillId="0" borderId="25" xfId="0" applyFont="1" applyBorder="1" applyAlignment="1"/>
    <xf numFmtId="165" fontId="0" fillId="0" borderId="22" xfId="0" applyNumberFormat="1" applyFont="1" applyBorder="1" applyAlignment="1"/>
    <xf numFmtId="0" fontId="0" fillId="0" borderId="21" xfId="0" applyNumberFormat="1" applyFont="1" applyBorder="1" applyAlignment="1"/>
    <xf numFmtId="0" fontId="0" fillId="0" borderId="22" xfId="0" applyNumberFormat="1" applyFont="1" applyBorder="1" applyAlignment="1"/>
    <xf numFmtId="0" fontId="14" fillId="0" borderId="20" xfId="0" pivotButton="1" applyFont="1" applyBorder="1" applyAlignment="1"/>
    <xf numFmtId="0" fontId="14" fillId="0" borderId="21" xfId="0" applyFont="1" applyBorder="1" applyAlignment="1"/>
    <xf numFmtId="0" fontId="14" fillId="0" borderId="24" xfId="0" applyFont="1" applyBorder="1" applyAlignment="1"/>
    <xf numFmtId="165" fontId="14" fillId="0" borderId="23" xfId="0" applyNumberFormat="1" applyFont="1" applyBorder="1" applyAlignment="1"/>
    <xf numFmtId="0" fontId="13" fillId="0" borderId="23" xfId="0" applyNumberFormat="1" applyFont="1" applyBorder="1" applyAlignment="1"/>
    <xf numFmtId="0" fontId="14" fillId="0" borderId="23" xfId="0" applyNumberFormat="1" applyFont="1" applyBorder="1" applyAlignment="1"/>
    <xf numFmtId="0" fontId="0" fillId="8" borderId="0" xfId="0" applyFont="1" applyFill="1" applyAlignment="1"/>
    <xf numFmtId="0" fontId="0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 applyAlignment="1"/>
    <xf numFmtId="0" fontId="5" fillId="0" borderId="4" xfId="0" applyFont="1" applyBorder="1" applyAlignment="1"/>
    <xf numFmtId="167" fontId="7" fillId="6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/>
    <xf numFmtId="0" fontId="5" fillId="0" borderId="7" xfId="0" applyFont="1" applyBorder="1" applyAlignment="1"/>
    <xf numFmtId="166" fontId="7" fillId="6" borderId="5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5" fillId="0" borderId="9" xfId="0" applyFont="1" applyBorder="1" applyAlignment="1"/>
    <xf numFmtId="0" fontId="5" fillId="0" borderId="10" xfId="0" applyFont="1" applyBorder="1" applyAlignment="1"/>
    <xf numFmtId="3" fontId="7" fillId="6" borderId="5" xfId="0" applyNumberFormat="1" applyFont="1" applyFill="1" applyBorder="1" applyAlignment="1">
      <alignment horizontal="center" vertical="center"/>
    </xf>
    <xf numFmtId="0" fontId="13" fillId="0" borderId="20" xfId="0" pivotButton="1" applyFont="1" applyBorder="1" applyAlignment="1"/>
    <xf numFmtId="0" fontId="13" fillId="0" borderId="21" xfId="0" applyFont="1" applyBorder="1" applyAlignment="1"/>
    <xf numFmtId="0" fontId="13" fillId="0" borderId="24" xfId="0" applyFont="1" applyBorder="1" applyAlignment="1"/>
  </cellXfs>
  <cellStyles count="1">
    <cellStyle name="Normal" xfId="0" builtinId="0"/>
  </cellStyles>
  <dxfs count="3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sz val="11"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b/>
      </font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font>
        <sz val="11"/>
      </font>
    </dxf>
    <dxf>
      <fill>
        <patternFill patternType="solid">
          <fgColor rgb="FFF8F8FB"/>
          <bgColor rgb="FFF8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22E3D"/>
          <bgColor rgb="FF222E3D"/>
        </patternFill>
      </fill>
    </dxf>
  </dxfs>
  <tableStyles count="1">
    <tableStyle name="Sheet1-style" pivot="0" count="3" xr9:uid="{00000000-0011-0000-FFFF-FFFF00000000}">
      <tableStyleElement type="headerRow" dxfId="37"/>
      <tableStyleElement type="firstRowStripe" dxfId="36"/>
      <tableStyleElement type="second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object2!$A$4:$A$10</c:f>
              <c:strCache>
                <c:ptCount val="6"/>
                <c:pt idx="0">
                  <c:v>Beauty &amp; Personal Care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Sports &amp; Fitness</c:v>
                </c:pt>
                <c:pt idx="4">
                  <c:v>Electronics</c:v>
                </c:pt>
                <c:pt idx="5">
                  <c:v>Appliances</c:v>
                </c:pt>
              </c:strCache>
            </c:strRef>
          </c:cat>
          <c:val>
            <c:numRef>
              <c:f>object2!$B$4:$B$10</c:f>
              <c:numCache>
                <c:formatCode>\₹#,##0.00</c:formatCode>
                <c:ptCount val="6"/>
                <c:pt idx="0">
                  <c:v>81717.17</c:v>
                </c:pt>
                <c:pt idx="1">
                  <c:v>135444.9599999999</c:v>
                </c:pt>
                <c:pt idx="2">
                  <c:v>138785.41</c:v>
                </c:pt>
                <c:pt idx="3">
                  <c:v>220490.66</c:v>
                </c:pt>
                <c:pt idx="4">
                  <c:v>760481.59000000008</c:v>
                </c:pt>
                <c:pt idx="5">
                  <c:v>828543.62000000034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A-4528-ACEE-98A493057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83112"/>
        <c:axId val="192000520"/>
      </c:barChart>
      <c:catAx>
        <c:axId val="1919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0520"/>
        <c:crosses val="autoZero"/>
        <c:auto val="1"/>
        <c:lblAlgn val="ctr"/>
        <c:lblOffset val="100"/>
        <c:noMultiLvlLbl val="0"/>
      </c:catAx>
      <c:valAx>
        <c:axId val="19200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object3!$A$4:$A$10</c:f>
              <c:strCache>
                <c:ptCount val="6"/>
                <c:pt idx="0">
                  <c:v>Appliances</c:v>
                </c:pt>
                <c:pt idx="1">
                  <c:v>Beauty &amp; Personal Care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 &amp; Fitness</c:v>
                </c:pt>
              </c:strCache>
            </c:strRef>
          </c:cat>
          <c:val>
            <c:numRef>
              <c:f>object3!$B$4:$B$10</c:f>
              <c:numCache>
                <c:formatCode>General</c:formatCode>
                <c:ptCount val="6"/>
                <c:pt idx="0">
                  <c:v>82</c:v>
                </c:pt>
                <c:pt idx="1">
                  <c:v>83</c:v>
                </c:pt>
                <c:pt idx="2">
                  <c:v>89</c:v>
                </c:pt>
                <c:pt idx="3">
                  <c:v>83</c:v>
                </c:pt>
                <c:pt idx="4">
                  <c:v>83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2-491E-8793-5A8E090CE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39208"/>
        <c:axId val="165943816"/>
      </c:barChart>
      <c:catAx>
        <c:axId val="16593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3816"/>
        <c:crosses val="autoZero"/>
        <c:auto val="1"/>
        <c:lblAlgn val="ctr"/>
        <c:lblOffset val="100"/>
        <c:noMultiLvlLbl val="0"/>
      </c:catAx>
      <c:valAx>
        <c:axId val="16594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3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object4!$A$4:$A$14</c:f>
              <c:strCache>
                <c:ptCount val="10"/>
                <c:pt idx="0">
                  <c:v>Cockatoo Motorized Multi-Function Treadmill</c:v>
                </c:pt>
                <c:pt idx="1">
                  <c:v>Godrej 1.5 Ton 3 Star Convertible Inverter AC</c:v>
                </c:pt>
                <c:pt idx="2">
                  <c:v>HP 15s 12th Gen Intel Core i3 Laptop</c:v>
                </c:pt>
                <c:pt idx="3">
                  <c:v>IFB 6kg 5 Star Fully Automatic Front Load Washing Machine</c:v>
                </c:pt>
                <c:pt idx="4">
                  <c:v>LG 7kg 5 Star Inverter Washing Machine</c:v>
                </c:pt>
                <c:pt idx="5">
                  <c:v>Mi Smart TV 43 Inch 4K Ultra HD Series</c:v>
                </c:pt>
                <c:pt idx="6">
                  <c:v>OnePlus Nord CE 3 Lite 5G</c:v>
                </c:pt>
                <c:pt idx="7">
                  <c:v>Samsung 253L 3 Star Inverter Frost-Free Refrigerator</c:v>
                </c:pt>
                <c:pt idx="8">
                  <c:v>Samsung Galaxy M34 5G Smartphone</c:v>
                </c:pt>
                <c:pt idx="9">
                  <c:v>Sony WH-1000XM5 Wireless ANC Headphones</c:v>
                </c:pt>
              </c:strCache>
            </c:strRef>
          </c:cat>
          <c:val>
            <c:numRef>
              <c:f>object4!$B$4:$B$14</c:f>
              <c:numCache>
                <c:formatCode>\₹#,##0.00</c:formatCode>
                <c:ptCount val="10"/>
                <c:pt idx="0">
                  <c:v>113061</c:v>
                </c:pt>
                <c:pt idx="1">
                  <c:v>107486.39999999999</c:v>
                </c:pt>
                <c:pt idx="2">
                  <c:v>139803.20000000001</c:v>
                </c:pt>
                <c:pt idx="3">
                  <c:v>101957.5</c:v>
                </c:pt>
                <c:pt idx="4">
                  <c:v>116832.5</c:v>
                </c:pt>
                <c:pt idx="5">
                  <c:v>79996.800000000003</c:v>
                </c:pt>
                <c:pt idx="6">
                  <c:v>91995.400000000009</c:v>
                </c:pt>
                <c:pt idx="7">
                  <c:v>107756</c:v>
                </c:pt>
                <c:pt idx="8">
                  <c:v>72245.75</c:v>
                </c:pt>
                <c:pt idx="9">
                  <c:v>134955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3-4E3D-B755-F5DE2C40A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44360"/>
        <c:axId val="164652040"/>
      </c:barChart>
      <c:catAx>
        <c:axId val="16464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2040"/>
        <c:crosses val="autoZero"/>
        <c:auto val="1"/>
        <c:lblAlgn val="ctr"/>
        <c:lblOffset val="100"/>
        <c:noMultiLvlLbl val="0"/>
      </c:catAx>
      <c:valAx>
        <c:axId val="16465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object5!$B$3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84-4BB5-BBAA-F44FD2FFCE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84-4BB5-BBAA-F44FD2FFCE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84-4BB5-BBAA-F44FD2FFCE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84-4BB5-BBAA-F44FD2FFCE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84-4BB5-BBAA-F44FD2FFCE34}"/>
              </c:ext>
            </c:extLst>
          </c:dPt>
          <c:cat>
            <c:strRef>
              <c:f>object5!$A$4:$A$9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In Transit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object5!$B$4:$B$9</c:f>
              <c:numCache>
                <c:formatCode>General</c:formatCode>
                <c:ptCount val="5"/>
                <c:pt idx="0">
                  <c:v>15</c:v>
                </c:pt>
                <c:pt idx="1">
                  <c:v>438</c:v>
                </c:pt>
                <c:pt idx="2">
                  <c:v>14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4-4D10-A53D-11B45788D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[Amazon_Sales_Data.xlsx]object2!PivotTable1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object2!$A$4:$A$10</c:f>
              <c:strCache>
                <c:ptCount val="6"/>
                <c:pt idx="0">
                  <c:v>Beauty &amp; Personal Care</c:v>
                </c:pt>
                <c:pt idx="1">
                  <c:v>Home &amp; Kitchen</c:v>
                </c:pt>
                <c:pt idx="2">
                  <c:v>Fashion</c:v>
                </c:pt>
                <c:pt idx="3">
                  <c:v>Sports &amp; Fitness</c:v>
                </c:pt>
                <c:pt idx="4">
                  <c:v>Electronics</c:v>
                </c:pt>
                <c:pt idx="5">
                  <c:v>Appliances</c:v>
                </c:pt>
              </c:strCache>
            </c:strRef>
          </c:cat>
          <c:val>
            <c:numRef>
              <c:f>object2!$B$4:$B$10</c:f>
              <c:numCache>
                <c:formatCode>\₹#,##0.00</c:formatCode>
                <c:ptCount val="6"/>
                <c:pt idx="0">
                  <c:v>81717.17</c:v>
                </c:pt>
                <c:pt idx="1">
                  <c:v>135444.9599999999</c:v>
                </c:pt>
                <c:pt idx="2">
                  <c:v>138785.41</c:v>
                </c:pt>
                <c:pt idx="3">
                  <c:v>220490.66</c:v>
                </c:pt>
                <c:pt idx="4">
                  <c:v>760481.59000000008</c:v>
                </c:pt>
                <c:pt idx="5">
                  <c:v>828543.62000000034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0-496E-B902-439D9E59F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983112"/>
        <c:axId val="192000520"/>
      </c:barChart>
      <c:catAx>
        <c:axId val="1919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00520"/>
        <c:crosses val="autoZero"/>
        <c:auto val="1"/>
        <c:lblAlgn val="ctr"/>
        <c:lblOffset val="100"/>
        <c:noMultiLvlLbl val="0"/>
      </c:catAx>
      <c:valAx>
        <c:axId val="19200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object4!$B$3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object4!$A$4:$A$14</c:f>
              <c:strCache>
                <c:ptCount val="10"/>
                <c:pt idx="0">
                  <c:v>Cockatoo Motorized Multi-Function Treadmill</c:v>
                </c:pt>
                <c:pt idx="1">
                  <c:v>Godrej 1.5 Ton 3 Star Convertible Inverter AC</c:v>
                </c:pt>
                <c:pt idx="2">
                  <c:v>HP 15s 12th Gen Intel Core i3 Laptop</c:v>
                </c:pt>
                <c:pt idx="3">
                  <c:v>IFB 6kg 5 Star Fully Automatic Front Load Washing Machine</c:v>
                </c:pt>
                <c:pt idx="4">
                  <c:v>LG 7kg 5 Star Inverter Washing Machine</c:v>
                </c:pt>
                <c:pt idx="5">
                  <c:v>Mi Smart TV 43 Inch 4K Ultra HD Series</c:v>
                </c:pt>
                <c:pt idx="6">
                  <c:v>OnePlus Nord CE 3 Lite 5G</c:v>
                </c:pt>
                <c:pt idx="7">
                  <c:v>Samsung 253L 3 Star Inverter Frost-Free Refrigerator</c:v>
                </c:pt>
                <c:pt idx="8">
                  <c:v>Samsung Galaxy M34 5G Smartphone</c:v>
                </c:pt>
                <c:pt idx="9">
                  <c:v>Sony WH-1000XM5 Wireless ANC Headphones</c:v>
                </c:pt>
              </c:strCache>
            </c:strRef>
          </c:cat>
          <c:val>
            <c:numRef>
              <c:f>object4!$B$4:$B$14</c:f>
              <c:numCache>
                <c:formatCode>\₹#,##0.00</c:formatCode>
                <c:ptCount val="10"/>
                <c:pt idx="0">
                  <c:v>113061</c:v>
                </c:pt>
                <c:pt idx="1">
                  <c:v>107486.39999999999</c:v>
                </c:pt>
                <c:pt idx="2">
                  <c:v>139803.20000000001</c:v>
                </c:pt>
                <c:pt idx="3">
                  <c:v>101957.5</c:v>
                </c:pt>
                <c:pt idx="4">
                  <c:v>116832.5</c:v>
                </c:pt>
                <c:pt idx="5">
                  <c:v>79996.800000000003</c:v>
                </c:pt>
                <c:pt idx="6">
                  <c:v>91995.400000000009</c:v>
                </c:pt>
                <c:pt idx="7">
                  <c:v>107756</c:v>
                </c:pt>
                <c:pt idx="8">
                  <c:v>72245.75</c:v>
                </c:pt>
                <c:pt idx="9">
                  <c:v>134955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1-48E3-B3D3-B3E44714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644360"/>
        <c:axId val="164652040"/>
      </c:barChart>
      <c:catAx>
        <c:axId val="164644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52040"/>
        <c:crosses val="autoZero"/>
        <c:auto val="1"/>
        <c:lblAlgn val="ctr"/>
        <c:lblOffset val="100"/>
        <c:noMultiLvlLbl val="0"/>
      </c:catAx>
      <c:valAx>
        <c:axId val="16465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4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object3!$A$4:$A$10</c:f>
              <c:strCache>
                <c:ptCount val="6"/>
                <c:pt idx="0">
                  <c:v>Appliances</c:v>
                </c:pt>
                <c:pt idx="1">
                  <c:v>Beauty &amp; Personal Care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 &amp; Fitness</c:v>
                </c:pt>
              </c:strCache>
            </c:strRef>
          </c:cat>
          <c:val>
            <c:numRef>
              <c:f>object3!$B$4:$B$10</c:f>
              <c:numCache>
                <c:formatCode>General</c:formatCode>
                <c:ptCount val="6"/>
                <c:pt idx="0">
                  <c:v>82</c:v>
                </c:pt>
                <c:pt idx="1">
                  <c:v>83</c:v>
                </c:pt>
                <c:pt idx="2">
                  <c:v>89</c:v>
                </c:pt>
                <c:pt idx="3">
                  <c:v>83</c:v>
                </c:pt>
                <c:pt idx="4">
                  <c:v>83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F-473B-8421-77ADB8FEC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939208"/>
        <c:axId val="165943816"/>
      </c:barChart>
      <c:catAx>
        <c:axId val="16593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3816"/>
        <c:crosses val="autoZero"/>
        <c:auto val="1"/>
        <c:lblAlgn val="ctr"/>
        <c:lblOffset val="100"/>
        <c:noMultiLvlLbl val="0"/>
      </c:catAx>
      <c:valAx>
        <c:axId val="16594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3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[Amazon_Sales_Data.xlsx]object5!PivotTable4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object5!$B$3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BF-44E0-810D-DEB6B16AED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BF-44E0-810D-DEB6B16AED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BF-44E0-810D-DEB6B16AED8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ABF-44E0-810D-DEB6B16AED8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ABF-44E0-810D-DEB6B16AED80}"/>
              </c:ext>
            </c:extLst>
          </c:dPt>
          <c:cat>
            <c:strRef>
              <c:f>object5!$A$4:$A$9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In Transit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object5!$B$4:$B$9</c:f>
              <c:numCache>
                <c:formatCode>General</c:formatCode>
                <c:ptCount val="5"/>
                <c:pt idx="0">
                  <c:v>15</c:v>
                </c:pt>
                <c:pt idx="1">
                  <c:v>438</c:v>
                </c:pt>
                <c:pt idx="2">
                  <c:v>14</c:v>
                </c:pt>
                <c:pt idx="3">
                  <c:v>25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ABF-44E0-810D-DEB6B16AE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85725</xdr:rowOff>
    </xdr:from>
    <xdr:to>
      <xdr:col>7</xdr:col>
      <xdr:colOff>180975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E7BFA8-087C-8965-3228-061C048BF92C}"/>
            </a:ext>
            <a:ext uri="{147F2762-F138-4A5C-976F-8EAC2B608ADB}">
              <a16:predDERef xmlns:a16="http://schemas.microsoft.com/office/drawing/2014/main" pred="{E3EE1289-A898-C105-CA05-684CE23DE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142875</xdr:rowOff>
    </xdr:from>
    <xdr:to>
      <xdr:col>8</xdr:col>
      <xdr:colOff>409575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D04D6-334E-E7FA-FF9D-E86D392D0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133350</xdr:rowOff>
    </xdr:from>
    <xdr:to>
      <xdr:col>10</xdr:col>
      <xdr:colOff>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B5FB5C-9F9B-9A32-128C-FAF16F278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123825</xdr:rowOff>
    </xdr:from>
    <xdr:to>
      <xdr:col>9</xdr:col>
      <xdr:colOff>38100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4C69C-E0F2-EEFC-B85C-3A63837F6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66675</xdr:rowOff>
    </xdr:from>
    <xdr:to>
      <xdr:col>9</xdr:col>
      <xdr:colOff>323850</xdr:colOff>
      <xdr:row>4</xdr:row>
      <xdr:rowOff>133350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32BAE61-A248-3A5D-B3D9-0294F84682C8}"/>
            </a:ext>
          </a:extLst>
        </xdr:cNvPr>
        <xdr:cNvSpPr/>
      </xdr:nvSpPr>
      <xdr:spPr>
        <a:xfrm>
          <a:off x="1600200" y="228600"/>
          <a:ext cx="4210050" cy="5524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India Amazon Product Dashboard</a:t>
          </a:r>
        </a:p>
      </xdr:txBody>
    </xdr:sp>
    <xdr:clientData/>
  </xdr:twoCellAnchor>
  <xdr:twoCellAnchor>
    <xdr:from>
      <xdr:col>0</xdr:col>
      <xdr:colOff>352425</xdr:colOff>
      <xdr:row>7</xdr:row>
      <xdr:rowOff>38100</xdr:rowOff>
    </xdr:from>
    <xdr:to>
      <xdr:col>2</xdr:col>
      <xdr:colOff>600075</xdr:colOff>
      <xdr:row>11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AE25C14-5926-467C-41C8-4F24BBC16130}"/>
            </a:ext>
            <a:ext uri="{147F2762-F138-4A5C-976F-8EAC2B608ADB}">
              <a16:predDERef xmlns:a16="http://schemas.microsoft.com/office/drawing/2014/main" pred="{B32BAE61-A248-3A5D-B3D9-0294F84682C8}"/>
            </a:ext>
          </a:extLst>
        </xdr:cNvPr>
        <xdr:cNvSpPr/>
      </xdr:nvSpPr>
      <xdr:spPr>
        <a:xfrm>
          <a:off x="352425" y="1171575"/>
          <a:ext cx="1466850" cy="704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     </a:t>
          </a:r>
          <a:r>
            <a:rPr lang="en-US" sz="1400">
              <a:solidFill>
                <a:srgbClr val="FF0000"/>
              </a:solidFill>
              <a:latin typeface="+mn-lt"/>
              <a:ea typeface="+mn-lt"/>
              <a:cs typeface="+mn-lt"/>
            </a:rPr>
            <a:t>Total sales</a:t>
          </a:r>
          <a:endParaRPr lang="en-US" sz="14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2,165,463.35</a:t>
          </a:r>
        </a:p>
      </xdr:txBody>
    </xdr:sp>
    <xdr:clientData/>
  </xdr:twoCellAnchor>
  <xdr:twoCellAnchor>
    <xdr:from>
      <xdr:col>3</xdr:col>
      <xdr:colOff>314325</xdr:colOff>
      <xdr:row>6</xdr:row>
      <xdr:rowOff>133350</xdr:rowOff>
    </xdr:from>
    <xdr:to>
      <xdr:col>5</xdr:col>
      <xdr:colOff>485775</xdr:colOff>
      <xdr:row>11</xdr:row>
      <xdr:rowOff>85725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5058591-A56B-BFA1-5076-8D3238B2B589}"/>
            </a:ext>
            <a:ext uri="{147F2762-F138-4A5C-976F-8EAC2B608ADB}">
              <a16:predDERef xmlns:a16="http://schemas.microsoft.com/office/drawing/2014/main" pred="{3AE25C14-5926-467C-41C8-4F24BBC16130}"/>
            </a:ext>
          </a:extLst>
        </xdr:cNvPr>
        <xdr:cNvSpPr/>
      </xdr:nvSpPr>
      <xdr:spPr>
        <a:xfrm>
          <a:off x="2143125" y="1104900"/>
          <a:ext cx="139065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accent5"/>
              </a:solidFill>
              <a:latin typeface="+mn-lt"/>
              <a:ea typeface="+mn-lt"/>
              <a:cs typeface="+mn-lt"/>
            </a:rPr>
            <a:t>    Total Profit</a:t>
          </a:r>
        </a:p>
        <a:p>
          <a:pPr marL="0" indent="0" algn="l"/>
          <a:r>
            <a:rPr lang="en-US" sz="1400">
              <a:solidFill>
                <a:schemeClr val="accent5"/>
              </a:solidFill>
              <a:latin typeface="+mn-lt"/>
              <a:ea typeface="+mn-lt"/>
              <a:cs typeface="+mn-lt"/>
            </a:rPr>
            <a:t> 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1,066,088.85</a:t>
          </a:r>
          <a:r>
            <a:rPr lang="en-US" sz="1400">
              <a:solidFill>
                <a:schemeClr val="accent5"/>
              </a:solidFill>
              <a:latin typeface="+mn-lt"/>
              <a:ea typeface="+mn-lt"/>
              <a:cs typeface="+mn-lt"/>
            </a:rPr>
            <a:t>    </a:t>
          </a:r>
        </a:p>
      </xdr:txBody>
    </xdr:sp>
    <xdr:clientData/>
  </xdr:twoCellAnchor>
  <xdr:twoCellAnchor>
    <xdr:from>
      <xdr:col>6</xdr:col>
      <xdr:colOff>247650</xdr:colOff>
      <xdr:row>7</xdr:row>
      <xdr:rowOff>9525</xdr:rowOff>
    </xdr:from>
    <xdr:to>
      <xdr:col>8</xdr:col>
      <xdr:colOff>504825</xdr:colOff>
      <xdr:row>11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C8180E8-6178-E5A5-DC35-F91E9E415014}"/>
            </a:ext>
            <a:ext uri="{147F2762-F138-4A5C-976F-8EAC2B608ADB}">
              <a16:predDERef xmlns:a16="http://schemas.microsoft.com/office/drawing/2014/main" pred="{B5058591-A56B-BFA1-5076-8D3238B2B589}"/>
            </a:ext>
          </a:extLst>
        </xdr:cNvPr>
        <xdr:cNvSpPr/>
      </xdr:nvSpPr>
      <xdr:spPr>
        <a:xfrm>
          <a:off x="3905250" y="1143000"/>
          <a:ext cx="1476375" cy="714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accent2"/>
              </a:solidFill>
              <a:latin typeface="+mn-lt"/>
              <a:ea typeface="+mn-lt"/>
              <a:cs typeface="+mn-lt"/>
            </a:rPr>
            <a:t>      Total orders</a:t>
          </a:r>
        </a:p>
        <a:p>
          <a:pPr marL="0" indent="0" algn="l"/>
          <a:r>
            <a:rPr lang="en-US" sz="1400">
              <a:solidFill>
                <a:schemeClr val="accent2"/>
              </a:solidFill>
              <a:latin typeface="+mn-lt"/>
              <a:ea typeface="+mn-lt"/>
              <a:cs typeface="+mn-lt"/>
            </a:rPr>
            <a:t>        </a:t>
          </a:r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600</a:t>
          </a:r>
        </a:p>
      </xdr:txBody>
    </xdr:sp>
    <xdr:clientData/>
  </xdr:twoCellAnchor>
  <xdr:twoCellAnchor>
    <xdr:from>
      <xdr:col>9</xdr:col>
      <xdr:colOff>171450</xdr:colOff>
      <xdr:row>6</xdr:row>
      <xdr:rowOff>114300</xdr:rowOff>
    </xdr:from>
    <xdr:to>
      <xdr:col>11</xdr:col>
      <xdr:colOff>523875</xdr:colOff>
      <xdr:row>11</xdr:row>
      <xdr:rowOff>66675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32F50A9-29B8-48C0-5A57-79603BAC3452}"/>
            </a:ext>
            <a:ext uri="{147F2762-F138-4A5C-976F-8EAC2B608ADB}">
              <a16:predDERef xmlns:a16="http://schemas.microsoft.com/office/drawing/2014/main" pred="{EC8180E8-6178-E5A5-DC35-F91E9E415014}"/>
            </a:ext>
          </a:extLst>
        </xdr:cNvPr>
        <xdr:cNvSpPr/>
      </xdr:nvSpPr>
      <xdr:spPr>
        <a:xfrm>
          <a:off x="5657850" y="1085850"/>
          <a:ext cx="1571625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accent2"/>
              </a:solidFill>
              <a:latin typeface="+mn-lt"/>
              <a:ea typeface="+mn-lt"/>
              <a:cs typeface="+mn-lt"/>
            </a:rPr>
            <a:t>    Profit Margin</a:t>
          </a:r>
        </a:p>
      </xdr:txBody>
    </xdr:sp>
    <xdr:clientData/>
  </xdr:twoCellAnchor>
  <xdr:twoCellAnchor>
    <xdr:from>
      <xdr:col>0</xdr:col>
      <xdr:colOff>476250</xdr:colOff>
      <xdr:row>13</xdr:row>
      <xdr:rowOff>9525</xdr:rowOff>
    </xdr:from>
    <xdr:to>
      <xdr:col>6</xdr:col>
      <xdr:colOff>238125</xdr:colOff>
      <xdr:row>25</xdr:row>
      <xdr:rowOff>104775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22166CA-3A66-4861-A9B6-ECA8B515482D}"/>
            </a:ext>
            <a:ext uri="{147F2762-F138-4A5C-976F-8EAC2B608ADB}">
              <a16:predDERef xmlns:a16="http://schemas.microsoft.com/office/drawing/2014/main" pred="{B32F50A9-29B8-48C0-5A57-79603BAC34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523875</xdr:colOff>
      <xdr:row>13</xdr:row>
      <xdr:rowOff>9525</xdr:rowOff>
    </xdr:from>
    <xdr:to>
      <xdr:col>12</xdr:col>
      <xdr:colOff>114300</xdr:colOff>
      <xdr:row>25</xdr:row>
      <xdr:rowOff>76200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ACA50608-0F7F-44B0-8B8D-D65A3B18A2E3}"/>
            </a:ext>
            <a:ext uri="{147F2762-F138-4A5C-976F-8EAC2B608ADB}">
              <a16:predDERef xmlns:a16="http://schemas.microsoft.com/office/drawing/2014/main" pred="{822166CA-3A66-4861-A9B6-ECA8B5154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438150</xdr:colOff>
      <xdr:row>28</xdr:row>
      <xdr:rowOff>0</xdr:rowOff>
    </xdr:from>
    <xdr:to>
      <xdr:col>6</xdr:col>
      <xdr:colOff>361950</xdr:colOff>
      <xdr:row>40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D91ED9E-311B-4EEF-90F3-BF769161290E}"/>
            </a:ext>
            <a:ext uri="{147F2762-F138-4A5C-976F-8EAC2B608ADB}">
              <a16:predDERef xmlns:a16="http://schemas.microsoft.com/office/drawing/2014/main" pred="{ACA50608-0F7F-44B0-8B8D-D65A3B18A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600075</xdr:colOff>
      <xdr:row>28</xdr:row>
      <xdr:rowOff>9525</xdr:rowOff>
    </xdr:from>
    <xdr:to>
      <xdr:col>12</xdr:col>
      <xdr:colOff>314325</xdr:colOff>
      <xdr:row>40</xdr:row>
      <xdr:rowOff>133350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BACCA40-44F2-44B8-B2B9-642F8FD5C022}"/>
            </a:ext>
            <a:ext uri="{147F2762-F138-4A5C-976F-8EAC2B608ADB}">
              <a16:predDERef xmlns:a16="http://schemas.microsoft.com/office/drawing/2014/main" pred="{9D91ED9E-311B-4EEF-90F3-BF7691612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2</xdr:row>
      <xdr:rowOff>95250</xdr:rowOff>
    </xdr:from>
    <xdr:to>
      <xdr:col>5</xdr:col>
      <xdr:colOff>47625</xdr:colOff>
      <xdr:row>18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Order_Status">
              <a:extLst>
                <a:ext uri="{FF2B5EF4-FFF2-40B4-BE49-F238E27FC236}">
                  <a16:creationId xmlns:a16="http://schemas.microsoft.com/office/drawing/2014/main" id="{81181694-4C53-6D62-0791-F044506476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600" y="4191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9.809239467591" createdVersion="8" refreshedVersion="8" minRefreshableVersion="3" recordCount="500" xr:uid="{DEC74DA9-A227-47FD-80D1-CBB632DD0442}">
  <cacheSource type="worksheet">
    <worksheetSource name="Table_1"/>
  </cacheSource>
  <cacheFields count="13">
    <cacheField name="Order_ID" numFmtId="0">
      <sharedItems count="500">
        <s v="IN-2024-1001"/>
        <s v="IN-2024-1002"/>
        <s v="IN-2024-1003"/>
        <s v="IN-2024-1004"/>
        <s v="IN-2024-1005"/>
        <s v="IN-2024-1006"/>
        <s v="IN-2024-1007"/>
        <s v="IN-2024-1008"/>
        <s v="IN-2024-1009"/>
        <s v="IN-2024-1010"/>
        <s v="IN-2024-1011"/>
        <s v="IN-2024-1012"/>
        <s v="IN-2024-1013"/>
        <s v="IN-2024-1014"/>
        <s v="IN-2024-1015"/>
        <s v="IN-2024-1016"/>
        <s v="IN-2024-1017"/>
        <s v="IN-2024-1018"/>
        <s v="IN-2024-1019"/>
        <s v="IN-2024-1020"/>
        <s v="IN-2024-1021"/>
        <s v="IN-2024-1022"/>
        <s v="IN-2024-1023"/>
        <s v="IN-2024-1024"/>
        <s v="IN-2024-1025"/>
        <s v="IN-2024-1026"/>
        <s v="IN-2024-1027"/>
        <s v="IN-2024-1028"/>
        <s v="IN-2024-1029"/>
        <s v="IN-2024-1030"/>
        <s v="IN-2024-1031"/>
        <s v="IN-2024-1032"/>
        <s v="IN-2024-1033"/>
        <s v="IN-2024-1034"/>
        <s v="IN-2024-1035"/>
        <s v="IN-2024-1036"/>
        <s v="IN-2024-1037"/>
        <s v="IN-2024-1038"/>
        <s v="IN-2024-1039"/>
        <s v="IN-2024-1040"/>
        <s v="IN-2024-1041"/>
        <s v="IN-2024-1042"/>
        <s v="IN-2024-1043"/>
        <s v="IN-2024-1044"/>
        <s v="IN-2024-1045"/>
        <s v="IN-2024-1046"/>
        <s v="IN-2024-1047"/>
        <s v="IN-2024-1048"/>
        <s v="IN-2024-1049"/>
        <s v="IN-2024-1050"/>
        <s v="IN-2024-1051"/>
        <s v="IN-2024-1052"/>
        <s v="IN-2024-1053"/>
        <s v="IN-2024-1054"/>
        <s v="IN-2024-1055"/>
        <s v="IN-2024-1056"/>
        <s v="IN-2024-1057"/>
        <s v="IN-2024-1058"/>
        <s v="IN-2024-1059"/>
        <s v="IN-2024-1060"/>
        <s v="IN-2024-1061"/>
        <s v="IN-2024-1062"/>
        <s v="IN-2024-1063"/>
        <s v="IN-2024-1064"/>
        <s v="IN-2024-1065"/>
        <s v="IN-2024-1066"/>
        <s v="IN-2024-1067"/>
        <s v="IN-2024-1068"/>
        <s v="IN-2024-1069"/>
        <s v="IN-2024-1070"/>
        <s v="IN-2024-1071"/>
        <s v="IN-2024-1072"/>
        <s v="IN-2024-1073"/>
        <s v="IN-2024-1074"/>
        <s v="IN-2024-1075"/>
        <s v="IN-2024-1076"/>
        <s v="IN-2024-1077"/>
        <s v="IN-2024-1078"/>
        <s v="IN-2024-1079"/>
        <s v="IN-2024-1080"/>
        <s v="IN-2024-1081"/>
        <s v="IN-2024-1082"/>
        <s v="IN-2024-1083"/>
        <s v="IN-2024-1084"/>
        <s v="IN-2024-1085"/>
        <s v="IN-2024-1086"/>
        <s v="IN-2024-1087"/>
        <s v="IN-2024-1088"/>
        <s v="IN-2024-1089"/>
        <s v="IN-2024-1090"/>
        <s v="IN-2024-1091"/>
        <s v="IN-2024-1092"/>
        <s v="IN-2024-1093"/>
        <s v="IN-2024-1094"/>
        <s v="IN-2024-1095"/>
        <s v="IN-2024-1096"/>
        <s v="IN-2024-1097"/>
        <s v="IN-2024-1098"/>
        <s v="IN-2024-1099"/>
        <s v="IN-2024-1100"/>
        <s v="IN-2024-1101"/>
        <s v="IN-2024-1102"/>
        <s v="IN-2024-1103"/>
        <s v="IN-2024-1104"/>
        <s v="IN-2024-1105"/>
        <s v="IN-2024-1106"/>
        <s v="IN-2024-1107"/>
        <s v="IN-2024-1108"/>
        <s v="IN-2024-1109"/>
        <s v="IN-2024-1110"/>
        <s v="IN-2024-1111"/>
        <s v="IN-2024-1112"/>
        <s v="IN-2024-1113"/>
        <s v="IN-2024-1114"/>
        <s v="IN-2024-1115"/>
        <s v="IN-2024-1116"/>
        <s v="IN-2024-1117"/>
        <s v="IN-2024-1118"/>
        <s v="IN-2024-1119"/>
        <s v="IN-2024-1120"/>
        <s v="IN-2024-1121"/>
        <s v="IN-2024-1122"/>
        <s v="IN-2024-1123"/>
        <s v="IN-2024-1124"/>
        <s v="IN-2024-1125"/>
        <s v="IN-2024-1126"/>
        <s v="IN-2024-1127"/>
        <s v="IN-2024-1128"/>
        <s v="IN-2024-1129"/>
        <s v="IN-2024-1130"/>
        <s v="IN-2024-1131"/>
        <s v="IN-2024-1132"/>
        <s v="IN-2024-1133"/>
        <s v="IN-2024-1134"/>
        <s v="IN-2024-1135"/>
        <s v="IN-2024-1136"/>
        <s v="IN-2024-1137"/>
        <s v="IN-2024-1138"/>
        <s v="IN-2024-1139"/>
        <s v="IN-2024-1140"/>
        <s v="IN-2024-1141"/>
        <s v="IN-2024-1142"/>
        <s v="IN-2024-1143"/>
        <s v="IN-2024-1144"/>
        <s v="IN-2025-1145"/>
        <s v="IN-2025-1146"/>
        <s v="IN-2025-1147"/>
        <s v="IN-2025-1148"/>
        <s v="IN-2025-1149"/>
        <s v="IN-2025-1150"/>
        <s v="IN-2025-1151"/>
        <s v="IN-2025-1152"/>
        <s v="IN-2025-1153"/>
        <s v="IN-2025-1154"/>
        <s v="IN-2025-1155"/>
        <s v="IN-2025-1156"/>
        <s v="IN-2025-1157"/>
        <s v="IN-2025-1158"/>
        <s v="IN-2025-1159"/>
        <s v="IN-2025-1160"/>
        <s v="IN-2025-1161"/>
        <s v="IN-2025-1162"/>
        <s v="IN-2025-1163"/>
        <s v="IN-2025-1164"/>
        <s v="IN-2025-1165"/>
        <s v="IN-2025-1166"/>
        <s v="IN-2025-1167"/>
        <s v="IN-2025-1168"/>
        <s v="IN-2025-1169"/>
        <s v="IN-2025-1170"/>
        <s v="IN-2025-1171"/>
        <s v="IN-2025-1172"/>
        <s v="IN-2025-1173"/>
        <s v="IN-2025-1174"/>
        <s v="IN-2025-1175"/>
        <s v="IN-2025-1176"/>
        <s v="IN-2025-1177"/>
        <s v="IN-2025-1178"/>
        <s v="IN-2025-1179"/>
        <s v="IN-2025-1180"/>
        <s v="IN-2025-1181"/>
        <s v="IN-2025-1182"/>
        <s v="IN-2025-1183"/>
        <s v="IN-2025-1184"/>
        <s v="IN-2025-1185"/>
        <s v="IN-2025-1186"/>
        <s v="IN-2025-1187"/>
        <s v="IN-2025-1188"/>
        <s v="IN-2025-1189"/>
        <s v="IN-2025-1190"/>
        <s v="IN-2025-1191"/>
        <s v="IN-2025-1192"/>
        <s v="IN-2025-1193"/>
        <s v="IN-2025-1194"/>
        <s v="IN-2025-1195"/>
        <s v="IN-2025-1196"/>
        <s v="IN-2025-1197"/>
        <s v="IN-2025-1198"/>
        <s v="IN-2025-1199"/>
        <s v="IN-2025-1200"/>
        <s v="IN-2025-1201"/>
        <s v="IN-2025-1202"/>
        <s v="IN-2025-1203"/>
        <s v="IN-2025-1204"/>
        <s v="IN-2025-1205"/>
        <s v="IN-2025-1206"/>
        <s v="IN-2025-1207"/>
        <s v="IN-2025-1208"/>
        <s v="IN-2025-1209"/>
        <s v="IN-2025-1210"/>
        <s v="IN-2025-1211"/>
        <s v="IN-2025-1212"/>
        <s v="IN-2025-1213"/>
        <s v="IN-2025-1214"/>
        <s v="IN-2025-1215"/>
        <s v="IN-2025-1216"/>
        <s v="IN-2025-1217"/>
        <s v="IN-2025-1218"/>
        <s v="IN-2025-1219"/>
        <s v="IN-2025-1220"/>
        <s v="IN-2025-1221"/>
        <s v="IN-2025-1222"/>
        <s v="IN-2025-1223"/>
        <s v="IN-2025-1224"/>
        <s v="IN-2025-1225"/>
        <s v="IN-2025-1226"/>
        <s v="IN-2025-1227"/>
        <s v="IN-2025-1228"/>
        <s v="IN-2025-1229"/>
        <s v="IN-2025-1230"/>
        <s v="IN-2025-1231"/>
        <s v="IN-2025-1232"/>
        <s v="IN-2025-1233"/>
        <s v="IN-2025-1234"/>
        <s v="IN-2025-1235"/>
        <s v="IN-2025-1236"/>
        <s v="IN-2025-1237"/>
        <s v="IN-2025-1238"/>
        <s v="IN-2025-1239"/>
        <s v="IN-2025-1240"/>
        <s v="IN-2025-1241"/>
        <s v="IN-2025-1242"/>
        <s v="IN-2025-1243"/>
        <s v="IN-2025-1244"/>
        <s v="IN-2025-1245"/>
        <s v="IN-2025-1246"/>
        <s v="IN-2025-1247"/>
        <s v="IN-2025-1248"/>
        <s v="IN-2025-1249"/>
        <s v="IN-2025-1250"/>
        <s v="IN-2025-1251"/>
        <s v="IN-2025-1252"/>
        <s v="IN-2025-1253"/>
        <s v="IN-2025-1254"/>
        <s v="IN-2025-1255"/>
        <s v="IN-2025-1256"/>
        <s v="IN-2025-1257"/>
        <s v="IN-2025-1258"/>
        <s v="IN-2025-1259"/>
        <s v="IN-2025-1260"/>
        <s v="IN-2025-1261"/>
        <s v="IN-2025-1262"/>
        <s v="IN-2025-1263"/>
        <s v="IN-2025-1264"/>
        <s v="IN-2025-1265"/>
        <s v="IN-2025-1266"/>
        <s v="IN-2025-1267"/>
        <s v="IN-2025-1268"/>
        <s v="IN-2025-1269"/>
        <s v="IN-2025-1270"/>
        <s v="IN-2025-1271"/>
        <s v="IN-2025-1272"/>
        <s v="IN-2025-1273"/>
        <s v="IN-2025-1274"/>
        <s v="IN-2025-1275"/>
        <s v="IN-2025-1276"/>
        <s v="IN-2025-1277"/>
        <s v="IN-2025-1278"/>
        <s v="IN-2025-1279"/>
        <s v="IN-2025-1280"/>
        <s v="IN-2025-1281"/>
        <s v="IN-2025-1282"/>
        <s v="IN-2025-1283"/>
        <s v="IN-2025-1284"/>
        <s v="IN-2025-1285"/>
        <s v="IN-2025-1286"/>
        <s v="IN-2025-1287"/>
        <s v="IN-2025-1288"/>
        <s v="IN-2025-1289"/>
        <s v="IN-2025-1290"/>
        <s v="IN-2026-1291"/>
        <s v="IN-2026-1292"/>
        <s v="IN-2026-1293"/>
        <s v="IN-2026-1294"/>
        <s v="IN-2026-1295"/>
        <s v="IN-2026-1296"/>
        <s v="IN-2026-1297"/>
        <s v="IN-2026-1298"/>
        <s v="IN-2026-1299"/>
        <s v="IN-2026-1300"/>
        <s v="IN-2026-1301"/>
        <s v="IN-2026-1302"/>
        <s v="IN-2026-1303"/>
        <s v="IN-2026-1304"/>
        <s v="IN-2026-1305"/>
        <s v="IN-2026-1306"/>
        <s v="IN-2026-1307"/>
        <s v="IN-2026-1308"/>
        <s v="IN-2026-1309"/>
        <s v="IN-2026-1310"/>
        <s v="IN-2026-1311"/>
        <s v="IN-2026-1312"/>
        <s v="IN-2026-1313"/>
        <s v="IN-2026-1314"/>
        <s v="IN-2026-1315"/>
        <s v="IN-2026-1316"/>
        <s v="IN-2026-1317"/>
        <s v="IN-2026-1318"/>
        <s v="IN-2026-1319"/>
        <s v="IN-2026-1320"/>
        <s v="IN-2026-1321"/>
        <s v="IN-2026-1322"/>
        <s v="IN-2026-1323"/>
        <s v="IN-2026-1324"/>
        <s v="IN-2026-1325"/>
        <s v="IN-2026-1326"/>
        <s v="IN-2026-1327"/>
        <s v="IN-2026-1328"/>
        <s v="IN-2026-1329"/>
        <s v="IN-2026-1330"/>
        <s v="IN-2026-1331"/>
        <s v="IN-2026-1332"/>
        <s v="IN-2026-1333"/>
        <s v="IN-2026-1334"/>
        <s v="IN-2026-1335"/>
        <s v="IN-2026-1336"/>
        <s v="IN-2026-1337"/>
        <s v="IN-2026-1338"/>
        <s v="IN-2026-1339"/>
        <s v="IN-2026-1340"/>
        <s v="IN-2026-1341"/>
        <s v="IN-2026-1342"/>
        <s v="IN-2026-1343"/>
        <s v="IN-2026-1344"/>
        <s v="IN-2026-1345"/>
        <s v="IN-2026-1346"/>
        <s v="IN-2026-1347"/>
        <s v="IN-2026-1348"/>
        <s v="IN-2026-1349"/>
        <s v="IN-2026-1350"/>
        <s v="IN-2026-1351"/>
        <s v="IN-2026-1352"/>
        <s v="IN-2026-1353"/>
        <s v="IN-2026-1354"/>
        <s v="IN-2026-1355"/>
        <s v="IN-2026-1356"/>
        <s v="IN-2026-1357"/>
        <s v="IN-2026-1358"/>
        <s v="IN-2026-1359"/>
        <s v="IN-2026-1360"/>
        <s v="IN-2026-1361"/>
        <s v="IN-2026-1362"/>
        <s v="IN-2026-1363"/>
        <s v="IN-2026-1364"/>
        <s v="IN-2026-1365"/>
        <s v="IN-2026-1366"/>
        <s v="IN-2026-1367"/>
        <s v="IN-2026-1368"/>
        <s v="IN-2026-1369"/>
        <s v="IN-2026-1370"/>
        <s v="IN-2026-1371"/>
        <s v="IN-2026-1372"/>
        <s v="IN-2026-1373"/>
        <s v="IN-2026-1374"/>
        <s v="IN-2026-1375"/>
        <s v="IN-2026-1376"/>
        <s v="IN-2026-1377"/>
        <s v="IN-2026-1378"/>
        <s v="IN-2026-1379"/>
        <s v="IN-2026-1380"/>
        <s v="IN-2026-1381"/>
        <s v="IN-2026-1382"/>
        <s v="IN-2026-1383"/>
        <s v="IN-2026-1384"/>
        <s v="IN-2026-1385"/>
        <s v="IN-2026-1386"/>
        <s v="IN-2026-1387"/>
        <s v="IN-2026-1388"/>
        <s v="IN-2026-1389"/>
        <s v="IN-2026-1390"/>
        <s v="IN-2026-1391"/>
        <s v="IN-2026-1392"/>
        <s v="IN-2026-1393"/>
        <s v="IN-2026-1394"/>
        <s v="IN-2026-1395"/>
        <s v="IN-2026-1396"/>
        <s v="IN-2026-1397"/>
        <s v="IN-2026-1398"/>
        <s v="IN-2026-1399"/>
        <s v="IN-2026-1400"/>
        <s v="IN-2026-1401"/>
        <s v="IN-2026-1402"/>
        <s v="IN-2026-1403"/>
        <s v="IN-2026-1404"/>
        <s v="IN-2026-1405"/>
        <s v="IN-2026-1406"/>
        <s v="IN-2026-1407"/>
        <s v="IN-2026-1408"/>
        <s v="IN-2026-1409"/>
        <s v="IN-2026-1410"/>
        <s v="IN-2026-1411"/>
        <s v="IN-2026-1412"/>
        <s v="IN-2026-1413"/>
        <s v="IN-2026-1414"/>
        <s v="IN-2026-1415"/>
        <s v="IN-2026-1416"/>
        <s v="IN-2026-1417"/>
        <s v="IN-2026-1418"/>
        <s v="IN-2026-1419"/>
        <s v="IN-2026-1420"/>
        <s v="IN-2026-1421"/>
        <s v="IN-2026-1422"/>
        <s v="IN-2026-1423"/>
        <s v="IN-2026-1424"/>
        <s v="IN-2026-1425"/>
        <s v="IN-2026-1426"/>
        <s v="IN-2026-1427"/>
        <s v="IN-2026-1428"/>
        <s v="IN-2026-1429"/>
        <s v="IN-2026-1430"/>
        <s v="IN-2026-1431"/>
        <s v="IN-2026-1432"/>
        <s v="IN-2026-1433"/>
        <s v="IN-2026-1434"/>
        <s v="IN-2026-1435"/>
        <s v="IN-2026-1436"/>
        <s v="IN-2026-1437"/>
        <s v="IN-2026-1438"/>
        <s v="IN-2026-1439"/>
        <s v="IN-2026-1440"/>
        <s v="IN-2026-1441"/>
        <s v="IN-2026-1442"/>
        <s v="IN-2026-1443"/>
        <s v="IN-2026-1444"/>
        <s v="IN-2026-1445"/>
        <s v="IN-2026-1446"/>
        <s v="IN-2026-1447"/>
        <s v="IN-2026-1448"/>
        <s v="IN-2026-1449"/>
        <s v="IN-2026-1450"/>
        <s v="IN-2026-1451"/>
        <s v="IN-2026-1452"/>
        <s v="IN-2026-1453"/>
        <s v="IN-2026-1454"/>
        <s v="IN-2026-1455"/>
        <s v="IN-2026-1456"/>
        <s v="IN-2026-1457"/>
        <s v="IN-2026-1458"/>
        <s v="IN-2026-1459"/>
        <s v="IN-2026-1460"/>
        <s v="IN-2026-1461"/>
        <s v="IN-2026-1462"/>
        <s v="IN-2026-1463"/>
        <s v="IN-2026-1464"/>
        <s v="IN-2026-1465"/>
        <s v="IN-2026-1466"/>
        <s v="IN-2026-1467"/>
        <s v="IN-2026-1468"/>
        <s v="IN-2026-1469"/>
        <s v="IN-2026-1470"/>
        <s v="IN-2026-1471"/>
        <s v="IN-2026-1472"/>
        <s v="IN-2026-1473"/>
        <s v="IN-2026-1474"/>
        <s v="IN-2026-1475"/>
        <s v="IN-2026-1476"/>
        <s v="IN-2026-1477"/>
        <s v="IN-2026-1478"/>
        <s v="IN-2026-1479"/>
        <s v="IN-2026-1480"/>
        <s v="IN-2026-1481"/>
        <s v="IN-2026-1482"/>
        <s v="IN-2026-1483"/>
        <s v="IN-2026-1484"/>
        <s v="IN-2026-1485"/>
        <s v="IN-2026-1486"/>
        <s v="IN-2026-1487"/>
        <s v="IN-2026-1488"/>
        <s v="IN-2026-1489"/>
        <s v="IN-2026-1490"/>
        <s v="IN-2026-1491"/>
        <s v="IN-2026-1492"/>
        <s v="IN-2026-1493"/>
        <s v="IN-2026-1494"/>
        <s v="IN-2026-1495"/>
        <s v="IN-2026-1496"/>
        <s v="IN-2026-1497"/>
        <s v="IN-2026-1498"/>
        <s v="IN-2026-1499"/>
        <s v="IN-2026-1500"/>
      </sharedItems>
    </cacheField>
    <cacheField name="Order_Date" numFmtId="164">
      <sharedItems containsSemiMixedTypes="0" containsNonDate="0" containsDate="1" containsString="0" minDate="2024-01-04T00:00:00" maxDate="2027-01-01T00:00:00"/>
    </cacheField>
    <cacheField name="Category" numFmtId="0">
      <sharedItems count="6">
        <s v="Electronics"/>
        <s v="Fashion"/>
        <s v="Home &amp; Kitchen"/>
        <s v="Beauty &amp; Personal Care"/>
        <s v="Appliances"/>
        <s v="Sports &amp; Fitness"/>
      </sharedItems>
    </cacheField>
    <cacheField name="Product" numFmtId="0">
      <sharedItems count="106">
        <s v="boAt Rockerz 450 Bluetooth Headphones"/>
        <s v="Levi's Men Slim Fit Jeans"/>
        <s v="Prestige Iris 750W Mixer Grinder"/>
        <s v="Mamaearth Onion Hair Fall Control Shampoo"/>
        <s v="Philips Digital Air Fryer HD9200"/>
        <s v="OnePlus Nord CE 3 Lite 5G"/>
        <s v="Boldfit Resistance Bands Set"/>
        <s v="Biba Women Printed Straight Kurta"/>
        <s v="Pigeon Stainless Steel Cookware Set 3 Pcs"/>
        <s v="Noise ColorFit Pulse 2 Max Smartwatch"/>
        <s v="Lakme Absolute Matte Lipstick"/>
        <s v="Bajaj Splendora 3L Instant Water Heater"/>
        <s v="Puma Men Smashic Casual Sneakers"/>
        <s v="Logitech K380 Multi-Device Wireless Keyboard"/>
        <s v="Kore PVC 20kg Home Gym Dumbbell Set"/>
        <s v="Milton Thermosteel 1000ml Flask"/>
        <s v="The Derma Co 10% Niacinamide Face Serum"/>
        <s v="Fire-Boltt Ninja Call Pro Plus Smartwatch"/>
        <s v="Crompton Ozone 75L Desert Air Cooler"/>
        <s v="Samsung Galaxy M34 5G Smartphone"/>
        <s v="Allen Solly Men Regular Fit Cotton Shirt"/>
        <s v="Hawkins Contura Black Pressure Cooker 3L"/>
        <s v="WOW Skin Science Apple Cider Vinegar Shampoo"/>
        <s v="Nivia Storm Football Size 5"/>
        <s v="JBL Go 3 Wireless Portable Bluetooth Speaker"/>
        <s v="Havells Glaze 1200mm Ceiling Fan"/>
        <s v="Aurelia Women Floral Print Anarkali Kurta"/>
        <s v="Apple AirPods 2nd Gen with Charging Case"/>
        <s v="Borosil Glass Mixing Bowl Set 3 Pcs"/>
        <s v="Minimalist 2% Salicylic Acid Face Serum"/>
        <s v="Strauss Yoga Mat 6mm Non-Slip"/>
        <s v="SanDisk Ultra 128GB MicroSDXC UHS-I Card"/>
        <s v="Red Tape Men Running Walking Shoes"/>
        <s v="Kent Grand Plus RO Water Purifier 9L"/>
        <s v="Solimo Stainless Steel Knife Set 3 Pcs"/>
        <s v="realme Buds T300 TWS Earbuds 30dB ANC"/>
        <s v="Forest Essentials Ayurvedic Facial Cleanser"/>
        <s v="Yonex ZR 100 Light Aluminium Badminton Racket"/>
        <s v="Morphy Richards 20L Solo Microwave Oven"/>
        <s v="US Polo Assn Men Solid Slim Casual Shirt"/>
        <s v="Mi Smart TV 43 Inch 4K Ultra HD Series"/>
        <s v="Cello Infuse Plastic Water Bottle 800ml 4 Pcs"/>
        <s v="Plum Green Tea Pore Cleansing Face Wash"/>
        <s v="Cockatoo Motorized Multi-Function Treadmill"/>
        <s v="Sony WH-1000XM5 Wireless ANC Headphones"/>
        <s v="W for Woman Geometric Print Festive Kurta"/>
        <s v="LG 7kg 5 Star Inverter Washing Machine"/>
        <s v="Wonderchef Nutri-blend 400W Mixer Grinder"/>
        <s v="Biotique Bio Kelp Protein Shampoo 650ml"/>
        <s v="TP-Link Archer AX12 WiFi 6 Gigabit Router"/>
        <s v="Peter England Men Regular Fit Formal Trousers"/>
        <s v="Prestige Deluxe Alpha Stainless Steel Cooker 3L"/>
        <s v="Dot &amp; Key Vitamin C+E Super Bright Sunscreen"/>
        <s v="IFB 6kg 5 Star Fully Automatic Front Load Washing Machine"/>
        <s v="Cosco Light Cricket Tennis Ball Pack of 6"/>
        <s v="boAt Airdopes 141 Bluetooth TWS Earbuds"/>
        <s v="Sparx Men Running Shoes SM-482"/>
        <s v="Bajaj Rex 500W Mixer Grinder with 3 Jars"/>
        <s v="Himalaya Purifying Neem Face Wash 200ml"/>
        <s v="Samsung 253L 3 Star Inverter Frost-Free Refrigerator"/>
        <s v="Boldfit Gym Shaker Pro Bottle 700ml"/>
        <s v="Redmi Note 13 5G Smartphone"/>
        <s v="Max Women Solid A-Line Casual Dress"/>
        <s v="Pigeon Polypropylene Chopper with 3 Blades"/>
        <s v="Cetaphil Gentle Skin Cleanser 250ml"/>
        <s v="Whirlpool 190L 3 Star Direct-Cool Refrigerator"/>
        <s v="Lifelong FitPro Manual Treadmill"/>
        <s v="Boult Audio Z40 True Wireless Earbuds"/>
        <s v="Fastrack Casual Analog Watch for Men"/>
        <s v="Butterfly Jet Elite 750W Mixer Grinder"/>
        <s v="L'Oreal Paris Extraordinary Hair Serum 100ml"/>
        <s v="Havells Instanio 3L Instant Geyser"/>
        <s v="Reach Exercise Cycle for Home Gym"/>
        <s v="HP 15s 12th Gen Intel Core i3 Laptop"/>
        <s v="Skybags Brat Black Casual Backpack 30L"/>
        <s v="Amazon Brand - Solimo Non-Stick Cookware Set"/>
        <s v="mCaffeine Coffee Face Scrub 100g"/>
        <s v="Bajaj New Shakti Neo 15L Storage Water Heater"/>
        <s v="Vector X Rubber Dumbbells 5kg Pair"/>
        <s v="Portronics Toad 23 Wireless Optical Mouse"/>
        <s v="Campus Men Oxyfit Walking Shoes"/>
        <s v="Milton Pro Lunch Insulated Tiffin Box"/>
        <s v="BBLUNT Intense Shine Hair Mask 250g"/>
        <s v="Orient Electric Apex-FX 1200mm Ceiling Fan"/>
        <s v="Nivia Heavy Tennis Cricket Bat Full Size"/>
        <s v="OnePlus Bullets Wireless Z2 Neckband"/>
        <s v="Van Heusen Men Athleisure Cotton Joggers"/>
        <s v="Philips Multi-Grooming Kit Series 3000"/>
        <s v="Nivea Soft Light Moisturizer 200ml"/>
        <s v="Eureka Forbes Aquaguard Aura RO+UV Water Purifier"/>
        <s v="Yonex Mavis 350 Nylon Shuttlecock Pack of 6"/>
        <s v="Amazon Echo Dot 5th Gen Smart Speaker"/>
        <s v="Lavie Women Betula Medium Tote Bag"/>
        <s v="Wakefit Sleeping Pillows Set of 2"/>
        <s v="Neutrogena Hydro Boost Water Gel 50g"/>
        <s v="Godrej 1.5 Ton 3 Star Convertible Inverter AC"/>
        <s v="Boldfit Skipping Rope for Men &amp; Women"/>
        <s v="FabIndia Cotton Hand Block Printed Kurta"/>
        <s v="Story@Home 100% Cotton Double Bedsheet"/>
        <s v="Maybelline New York Colossal Kajal"/>
        <s v="Faber 60cm 1000 m3/h Kitchen Chimney"/>
        <s v="Burnlab Adjustable Hand Grip Strengthener"/>
        <s v="Symbol Premium Men Casual Chinos"/>
        <s v="Tresemme Keratin Smooth Shampoo 580ml"/>
        <s v="Prestige 3 Burner Gas Stove Glass Top"/>
        <s v="Cosco Rio Football Size 5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5">
      <sharedItems containsSemiMixedTypes="0" containsString="0" containsNumber="1" containsInteger="1" minValue="199" maxValue="37990"/>
    </cacheField>
    <cacheField name="Discount_Pct" numFmtId="166">
      <sharedItems containsSemiMixedTypes="0" containsString="0" containsNumber="1" minValue="0.05" maxValue="0.35"/>
    </cacheField>
    <cacheField name="Total_Sales_INR" numFmtId="165">
      <sharedItems containsSemiMixedTypes="0" containsString="0" containsNumber="1" minValue="456" maxValue="34950.800000000003"/>
    </cacheField>
    <cacheField name="Profit_INR" numFmtId="168">
      <sharedItems count="1">
        <e v="#NAME?"/>
      </sharedItems>
    </cacheField>
    <cacheField name="Payment_Method" numFmtId="0">
      <sharedItems count="6">
        <s v="UPI"/>
        <s v="Credit Card"/>
        <s v="Net Banking"/>
        <s v="Cash on Delivery"/>
        <s v="Amazon Pay"/>
        <s v="Debit Card"/>
      </sharedItems>
    </cacheField>
    <cacheField name="Fulfillment" numFmtId="0">
      <sharedItems/>
    </cacheField>
    <cacheField name="Order_Status" numFmtId="0">
      <sharedItems count="5">
        <s v="Delivered"/>
        <s v="Returned"/>
        <s v="Cancelled"/>
        <s v="Shipped"/>
        <s v="In Transit"/>
      </sharedItems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 pivotCacheId="172753729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d v="2024-01-04T00:00:00"/>
    <x v="0"/>
    <x v="0"/>
    <n v="2"/>
    <n v="1499"/>
    <n v="0.1"/>
    <n v="2698.2"/>
    <x v="0"/>
    <x v="0"/>
    <s v="Fulfilled by Amazon"/>
    <x v="0"/>
    <s v="Maharashtra"/>
  </r>
  <r>
    <x v="1"/>
    <d v="2024-01-06T00:00:00"/>
    <x v="1"/>
    <x v="1"/>
    <n v="1"/>
    <n v="2499"/>
    <n v="0.2"/>
    <n v="1999.2"/>
    <x v="0"/>
    <x v="1"/>
    <s v="Fulfilled by Amazon"/>
    <x v="0"/>
    <s v="Karnataka"/>
  </r>
  <r>
    <x v="2"/>
    <d v="2024-01-09T00:00:00"/>
    <x v="2"/>
    <x v="2"/>
    <n v="1"/>
    <n v="3299"/>
    <n v="0.15"/>
    <n v="2804.15"/>
    <x v="0"/>
    <x v="2"/>
    <s v="Merchant"/>
    <x v="0"/>
    <s v="Tamil Nadu"/>
  </r>
  <r>
    <x v="3"/>
    <d v="2024-01-11T00:00:00"/>
    <x v="3"/>
    <x v="3"/>
    <n v="3"/>
    <n v="399"/>
    <n v="0.05"/>
    <n v="1137.1500000000001"/>
    <x v="0"/>
    <x v="3"/>
    <s v="Fulfilled by Amazon"/>
    <x v="0"/>
    <s v="Uttar Pradesh"/>
  </r>
  <r>
    <x v="4"/>
    <d v="2024-01-14T00:00:00"/>
    <x v="4"/>
    <x v="4"/>
    <n v="1"/>
    <n v="7999"/>
    <n v="0.25"/>
    <n v="5999.25"/>
    <x v="0"/>
    <x v="1"/>
    <s v="Fulfilled by Amazon"/>
    <x v="0"/>
    <s v="Delhi"/>
  </r>
  <r>
    <x v="5"/>
    <d v="2024-01-16T00:00:00"/>
    <x v="0"/>
    <x v="5"/>
    <n v="1"/>
    <n v="19999"/>
    <n v="0.08"/>
    <n v="18399.080000000002"/>
    <x v="0"/>
    <x v="4"/>
    <s v="Fulfilled by Amazon"/>
    <x v="0"/>
    <s v="Telangana"/>
  </r>
  <r>
    <x v="6"/>
    <d v="2024-01-19T00:00:00"/>
    <x v="5"/>
    <x v="6"/>
    <n v="2"/>
    <n v="499"/>
    <n v="0.1"/>
    <n v="898.2"/>
    <x v="0"/>
    <x v="0"/>
    <s v="Merchant"/>
    <x v="0"/>
    <s v="Gujarat"/>
  </r>
  <r>
    <x v="7"/>
    <d v="2024-01-21T00:00:00"/>
    <x v="1"/>
    <x v="7"/>
    <n v="2"/>
    <n v="1299"/>
    <n v="0.3"/>
    <n v="1818.6"/>
    <x v="0"/>
    <x v="1"/>
    <s v="Fulfilled by Amazon"/>
    <x v="1"/>
    <s v="West Bengal"/>
  </r>
  <r>
    <x v="8"/>
    <d v="2024-01-24T00:00:00"/>
    <x v="2"/>
    <x v="8"/>
    <n v="1"/>
    <n v="1899"/>
    <n v="0.15"/>
    <n v="1614.15"/>
    <x v="0"/>
    <x v="0"/>
    <s v="Fulfilled by Amazon"/>
    <x v="0"/>
    <s v="Kerala"/>
  </r>
  <r>
    <x v="9"/>
    <d v="2024-01-26T00:00:00"/>
    <x v="0"/>
    <x v="9"/>
    <n v="1"/>
    <n v="1799"/>
    <n v="0.2"/>
    <n v="1439.2"/>
    <x v="0"/>
    <x v="5"/>
    <s v="Merchant"/>
    <x v="0"/>
    <s v="Rajasthan"/>
  </r>
  <r>
    <x v="10"/>
    <d v="2024-01-29T00:00:00"/>
    <x v="3"/>
    <x v="10"/>
    <n v="4"/>
    <n v="650"/>
    <n v="0.1"/>
    <n v="2340"/>
    <x v="0"/>
    <x v="3"/>
    <s v="Fulfilled by Amazon"/>
    <x v="0"/>
    <s v="Maharashtra"/>
  </r>
  <r>
    <x v="11"/>
    <d v="2024-01-31T00:00:00"/>
    <x v="4"/>
    <x v="11"/>
    <n v="1"/>
    <n v="2899"/>
    <n v="0.18"/>
    <n v="2377.1799999999998"/>
    <x v="0"/>
    <x v="0"/>
    <s v="Fulfilled by Amazon"/>
    <x v="0"/>
    <s v="Karnataka"/>
  </r>
  <r>
    <x v="12"/>
    <d v="2024-02-03T00:00:00"/>
    <x v="1"/>
    <x v="12"/>
    <n v="1"/>
    <n v="3499"/>
    <n v="0.25"/>
    <n v="2624.25"/>
    <x v="0"/>
    <x v="1"/>
    <s v="Merchant"/>
    <x v="2"/>
    <s v="Delhi"/>
  </r>
  <r>
    <x v="13"/>
    <d v="2024-02-05T00:00:00"/>
    <x v="0"/>
    <x v="13"/>
    <n v="2"/>
    <n v="2495"/>
    <n v="0.12"/>
    <n v="4391.2"/>
    <x v="0"/>
    <x v="4"/>
    <s v="Fulfilled by Amazon"/>
    <x v="0"/>
    <s v="Telangana"/>
  </r>
  <r>
    <x v="14"/>
    <d v="2024-02-08T00:00:00"/>
    <x v="5"/>
    <x v="14"/>
    <n v="1"/>
    <n v="1249"/>
    <n v="0.15"/>
    <n v="1061.6500000000001"/>
    <x v="0"/>
    <x v="0"/>
    <s v="Merchant"/>
    <x v="0"/>
    <s v="Haryana"/>
  </r>
  <r>
    <x v="15"/>
    <d v="2024-02-10T00:00:00"/>
    <x v="2"/>
    <x v="15"/>
    <n v="3"/>
    <n v="980"/>
    <n v="0.08"/>
    <n v="2704.8"/>
    <x v="0"/>
    <x v="2"/>
    <s v="Fulfilled by Amazon"/>
    <x v="0"/>
    <s v="Tamil Nadu"/>
  </r>
  <r>
    <x v="16"/>
    <d v="2024-02-13T00:00:00"/>
    <x v="3"/>
    <x v="16"/>
    <n v="2"/>
    <n v="599"/>
    <n v="0.12"/>
    <n v="1054.24"/>
    <x v="0"/>
    <x v="0"/>
    <s v="Fulfilled by Amazon"/>
    <x v="0"/>
    <s v="Maharashtra"/>
  </r>
  <r>
    <x v="17"/>
    <d v="2024-02-15T00:00:00"/>
    <x v="0"/>
    <x v="17"/>
    <n v="2"/>
    <n v="1399"/>
    <n v="0.2"/>
    <n v="2238.4"/>
    <x v="0"/>
    <x v="1"/>
    <s v="Merchant"/>
    <x v="0"/>
    <s v="Uttar Pradesh"/>
  </r>
  <r>
    <x v="18"/>
    <d v="2024-02-18T00:00:00"/>
    <x v="4"/>
    <x v="18"/>
    <n v="1"/>
    <n v="7792"/>
    <n v="0.22"/>
    <n v="6077.76"/>
    <x v="0"/>
    <x v="1"/>
    <s v="Fulfilled by Amazon"/>
    <x v="0"/>
    <s v="Rajasthan"/>
  </r>
  <r>
    <x v="19"/>
    <d v="2024-02-20T00:00:00"/>
    <x v="0"/>
    <x v="19"/>
    <n v="1"/>
    <n v="16999"/>
    <n v="0.15"/>
    <n v="14449.15"/>
    <x v="0"/>
    <x v="4"/>
    <s v="Fulfilled by Amazon"/>
    <x v="0"/>
    <s v="Karnataka"/>
  </r>
  <r>
    <x v="20"/>
    <d v="2024-02-23T00:00:00"/>
    <x v="1"/>
    <x v="20"/>
    <n v="3"/>
    <n v="1199"/>
    <n v="0.25"/>
    <n v="2697.75"/>
    <x v="0"/>
    <x v="0"/>
    <s v="Fulfilled by Amazon"/>
    <x v="0"/>
    <s v="Delhi"/>
  </r>
  <r>
    <x v="21"/>
    <d v="2024-02-25T00:00:00"/>
    <x v="2"/>
    <x v="21"/>
    <n v="1"/>
    <n v="1750"/>
    <n v="0.1"/>
    <n v="1575"/>
    <x v="0"/>
    <x v="5"/>
    <s v="Fulfilled by Amazon"/>
    <x v="0"/>
    <s v="West Bengal"/>
  </r>
  <r>
    <x v="22"/>
    <d v="2024-02-28T00:00:00"/>
    <x v="3"/>
    <x v="22"/>
    <n v="2"/>
    <n v="499"/>
    <n v="0.15"/>
    <n v="848.3"/>
    <x v="0"/>
    <x v="3"/>
    <s v="Merchant"/>
    <x v="1"/>
    <s v="Madhya Pradesh"/>
  </r>
  <r>
    <x v="23"/>
    <d v="2024-03-02T00:00:00"/>
    <x v="5"/>
    <x v="23"/>
    <n v="2"/>
    <n v="480"/>
    <n v="0.05"/>
    <n v="912"/>
    <x v="0"/>
    <x v="0"/>
    <s v="Fulfilled by Amazon"/>
    <x v="0"/>
    <s v="Punjab"/>
  </r>
  <r>
    <x v="24"/>
    <d v="2024-03-04T00:00:00"/>
    <x v="0"/>
    <x v="24"/>
    <n v="1"/>
    <n v="2999"/>
    <n v="0.18"/>
    <n v="2459.1799999999998"/>
    <x v="0"/>
    <x v="1"/>
    <s v="Fulfilled by Amazon"/>
    <x v="0"/>
    <s v="Maharashtra"/>
  </r>
  <r>
    <x v="25"/>
    <d v="2024-03-07T00:00:00"/>
    <x v="4"/>
    <x v="25"/>
    <n v="2"/>
    <n v="2199"/>
    <n v="0.12"/>
    <n v="3870.24"/>
    <x v="0"/>
    <x v="2"/>
    <s v="Fulfilled by Amazon"/>
    <x v="0"/>
    <s v="Andhra Pradesh"/>
  </r>
  <r>
    <x v="26"/>
    <d v="2024-03-09T00:00:00"/>
    <x v="1"/>
    <x v="26"/>
    <n v="1"/>
    <n v="1899"/>
    <n v="0.3"/>
    <n v="1329.3"/>
    <x v="0"/>
    <x v="0"/>
    <s v="Merchant"/>
    <x v="0"/>
    <s v="Gujarat"/>
  </r>
  <r>
    <x v="27"/>
    <d v="2024-03-12T00:00:00"/>
    <x v="0"/>
    <x v="27"/>
    <n v="1"/>
    <n v="10999"/>
    <n v="0.08"/>
    <n v="10119.08"/>
    <x v="0"/>
    <x v="1"/>
    <s v="Fulfilled by Amazon"/>
    <x v="0"/>
    <s v="Karnataka"/>
  </r>
  <r>
    <x v="28"/>
    <d v="2024-03-14T00:00:00"/>
    <x v="2"/>
    <x v="28"/>
    <n v="1"/>
    <n v="995"/>
    <n v="0.1"/>
    <n v="895.5"/>
    <x v="0"/>
    <x v="4"/>
    <s v="Fulfilled by Amazon"/>
    <x v="0"/>
    <s v="Maharashtra"/>
  </r>
  <r>
    <x v="29"/>
    <d v="2024-03-17T00:00:00"/>
    <x v="3"/>
    <x v="29"/>
    <n v="3"/>
    <n v="549"/>
    <n v="0.05"/>
    <n v="1564.65"/>
    <x v="0"/>
    <x v="0"/>
    <s v="Fulfilled by Amazon"/>
    <x v="0"/>
    <s v="Delhi"/>
  </r>
  <r>
    <x v="30"/>
    <d v="2024-03-20T00:00:00"/>
    <x v="5"/>
    <x v="30"/>
    <n v="2"/>
    <n v="699"/>
    <n v="0.15"/>
    <n v="1188.3"/>
    <x v="0"/>
    <x v="3"/>
    <s v="Merchant"/>
    <x v="0"/>
    <s v="Tamil Nadu"/>
  </r>
  <r>
    <x v="31"/>
    <d v="2024-03-22T00:00:00"/>
    <x v="0"/>
    <x v="31"/>
    <n v="3"/>
    <n v="849"/>
    <n v="0.2"/>
    <n v="2037.6"/>
    <x v="0"/>
    <x v="5"/>
    <s v="Fulfilled by Amazon"/>
    <x v="0"/>
    <s v="Kerala"/>
  </r>
  <r>
    <x v="32"/>
    <d v="2024-03-25T00:00:00"/>
    <x v="1"/>
    <x v="32"/>
    <n v="1"/>
    <n v="1699"/>
    <n v="0.35"/>
    <n v="1104.3499999999999"/>
    <x v="0"/>
    <x v="0"/>
    <s v="Fulfilled by Amazon"/>
    <x v="0"/>
    <s v="Uttar Pradesh"/>
  </r>
  <r>
    <x v="33"/>
    <d v="2024-03-27T00:00:00"/>
    <x v="4"/>
    <x v="33"/>
    <n v="1"/>
    <n v="14999"/>
    <n v="0.15"/>
    <n v="12749.15"/>
    <x v="0"/>
    <x v="1"/>
    <s v="Fulfilled by Amazon"/>
    <x v="0"/>
    <s v="Telangana"/>
  </r>
  <r>
    <x v="34"/>
    <d v="2024-03-30T00:00:00"/>
    <x v="2"/>
    <x v="34"/>
    <n v="2"/>
    <n v="449"/>
    <n v="0.1"/>
    <n v="808.2"/>
    <x v="0"/>
    <x v="4"/>
    <s v="Fulfilled by Amazon"/>
    <x v="0"/>
    <s v="Rajasthan"/>
  </r>
  <r>
    <x v="35"/>
    <d v="2024-04-02T00:00:00"/>
    <x v="0"/>
    <x v="35"/>
    <n v="1"/>
    <n v="2299"/>
    <n v="0.12"/>
    <n v="2023.12"/>
    <x v="0"/>
    <x v="0"/>
    <s v="Merchant"/>
    <x v="1"/>
    <s v="Maharashtra"/>
  </r>
  <r>
    <x v="36"/>
    <d v="2024-04-05T00:00:00"/>
    <x v="3"/>
    <x v="36"/>
    <n v="1"/>
    <n v="1475"/>
    <n v="0.05"/>
    <n v="1401.25"/>
    <x v="0"/>
    <x v="1"/>
    <s v="Fulfilled by Amazon"/>
    <x v="0"/>
    <s v="Karnataka"/>
  </r>
  <r>
    <x v="37"/>
    <d v="2024-04-07T00:00:00"/>
    <x v="5"/>
    <x v="37"/>
    <n v="2"/>
    <n v="599"/>
    <n v="0.1"/>
    <n v="1078.2"/>
    <x v="0"/>
    <x v="3"/>
    <s v="Fulfilled by Amazon"/>
    <x v="0"/>
    <s v="West Bengal"/>
  </r>
  <r>
    <x v="38"/>
    <d v="2024-04-10T00:00:00"/>
    <x v="4"/>
    <x v="38"/>
    <n v="1"/>
    <n v="6299"/>
    <n v="0.18"/>
    <n v="5165.18"/>
    <x v="0"/>
    <x v="2"/>
    <s v="Fulfilled by Amazon"/>
    <x v="0"/>
    <s v="Delhi"/>
  </r>
  <r>
    <x v="39"/>
    <d v="2024-04-12T00:00:00"/>
    <x v="1"/>
    <x v="39"/>
    <n v="2"/>
    <n v="1499"/>
    <n v="0.25"/>
    <n v="2248.5"/>
    <x v="0"/>
    <x v="1"/>
    <s v="Merchant"/>
    <x v="2"/>
    <s v="Haryana"/>
  </r>
  <r>
    <x v="40"/>
    <d v="2024-04-15T00:00:00"/>
    <x v="0"/>
    <x v="40"/>
    <n v="1"/>
    <n v="24999"/>
    <n v="0.2"/>
    <n v="19999.2"/>
    <x v="0"/>
    <x v="1"/>
    <s v="Fulfilled by Amazon"/>
    <x v="0"/>
    <s v="Maharashtra"/>
  </r>
  <r>
    <x v="41"/>
    <d v="2024-04-18T00:00:00"/>
    <x v="2"/>
    <x v="41"/>
    <n v="3"/>
    <n v="349"/>
    <n v="0.1"/>
    <n v="942.3"/>
    <x v="0"/>
    <x v="0"/>
    <s v="Fulfilled by Amazon"/>
    <x v="0"/>
    <s v="Gujarat"/>
  </r>
  <r>
    <x v="42"/>
    <d v="2024-04-20T00:00:00"/>
    <x v="3"/>
    <x v="42"/>
    <n v="2"/>
    <n v="345"/>
    <n v="0.15"/>
    <n v="586.5"/>
    <x v="0"/>
    <x v="4"/>
    <s v="Fulfilled by Amazon"/>
    <x v="0"/>
    <s v="Tamil Nadu"/>
  </r>
  <r>
    <x v="43"/>
    <d v="2024-04-23T00:00:00"/>
    <x v="5"/>
    <x v="43"/>
    <n v="1"/>
    <n v="28990"/>
    <n v="0.22"/>
    <n v="22612.2"/>
    <x v="0"/>
    <x v="1"/>
    <s v="Merchant"/>
    <x v="0"/>
    <s v="Karnataka"/>
  </r>
  <r>
    <x v="44"/>
    <d v="2024-04-26T00:00:00"/>
    <x v="0"/>
    <x v="44"/>
    <n v="1"/>
    <n v="29990"/>
    <n v="0.1"/>
    <n v="26991"/>
    <x v="0"/>
    <x v="1"/>
    <s v="Fulfilled by Amazon"/>
    <x v="0"/>
    <s v="Delhi"/>
  </r>
  <r>
    <x v="45"/>
    <d v="2024-04-28T00:00:00"/>
    <x v="1"/>
    <x v="45"/>
    <n v="2"/>
    <n v="1599"/>
    <n v="0.3"/>
    <n v="2238.6"/>
    <x v="0"/>
    <x v="0"/>
    <s v="Fulfilled by Amazon"/>
    <x v="0"/>
    <s v="Telangana"/>
  </r>
  <r>
    <x v="46"/>
    <d v="2024-05-01T00:00:00"/>
    <x v="4"/>
    <x v="46"/>
    <n v="1"/>
    <n v="27490"/>
    <n v="0.15"/>
    <n v="23366.5"/>
    <x v="0"/>
    <x v="2"/>
    <s v="Fulfilled by Amazon"/>
    <x v="0"/>
    <s v="Maharashtra"/>
  </r>
  <r>
    <x v="47"/>
    <d v="2024-05-04T00:00:00"/>
    <x v="2"/>
    <x v="47"/>
    <n v="1"/>
    <n v="2699"/>
    <n v="0.18"/>
    <n v="2213.1799999999998"/>
    <x v="0"/>
    <x v="0"/>
    <s v="Merchant"/>
    <x v="1"/>
    <s v="Uttar Pradesh"/>
  </r>
  <r>
    <x v="48"/>
    <d v="2024-05-06T00:00:00"/>
    <x v="3"/>
    <x v="48"/>
    <n v="2"/>
    <n v="420"/>
    <n v="0.1"/>
    <n v="756"/>
    <x v="0"/>
    <x v="3"/>
    <s v="Fulfilled by Amazon"/>
    <x v="0"/>
    <s v="Madhya Pradesh"/>
  </r>
  <r>
    <x v="49"/>
    <d v="2024-05-09T00:00:00"/>
    <x v="0"/>
    <x v="49"/>
    <n v="1"/>
    <n v="3199"/>
    <n v="0.14000000000000001"/>
    <n v="2751.14"/>
    <x v="0"/>
    <x v="4"/>
    <s v="Fulfilled by Amazon"/>
    <x v="0"/>
    <s v="Karnataka"/>
  </r>
  <r>
    <x v="50"/>
    <d v="2024-05-11T00:00:00"/>
    <x v="1"/>
    <x v="50"/>
    <n v="2"/>
    <n v="1299"/>
    <n v="0.2"/>
    <n v="2078.4"/>
    <x v="0"/>
    <x v="0"/>
    <s v="Fulfilled by Amazon"/>
    <x v="0"/>
    <s v="Delhi"/>
  </r>
  <r>
    <x v="51"/>
    <d v="2024-05-14T00:00:00"/>
    <x v="2"/>
    <x v="51"/>
    <n v="1"/>
    <n v="2150"/>
    <n v="0.12"/>
    <n v="1892"/>
    <x v="0"/>
    <x v="2"/>
    <s v="Fulfilled by Amazon"/>
    <x v="0"/>
    <s v="Maharashtra"/>
  </r>
  <r>
    <x v="52"/>
    <d v="2024-05-16T00:00:00"/>
    <x v="3"/>
    <x v="52"/>
    <n v="3"/>
    <n v="445"/>
    <n v="0.08"/>
    <n v="1228.2"/>
    <x v="0"/>
    <x v="0"/>
    <s v="Fulfilled by Amazon"/>
    <x v="0"/>
    <s v="West Bengal"/>
  </r>
  <r>
    <x v="53"/>
    <d v="2024-05-19T00:00:00"/>
    <x v="4"/>
    <x v="53"/>
    <n v="1"/>
    <n v="23990"/>
    <n v="0.15"/>
    <n v="20391.5"/>
    <x v="0"/>
    <x v="1"/>
    <s v="Fulfilled by Amazon"/>
    <x v="0"/>
    <s v="Karnataka"/>
  </r>
  <r>
    <x v="54"/>
    <d v="2024-05-21T00:00:00"/>
    <x v="5"/>
    <x v="54"/>
    <n v="4"/>
    <n v="399"/>
    <n v="0.05"/>
    <n v="1516.2"/>
    <x v="0"/>
    <x v="3"/>
    <s v="Merchant"/>
    <x v="0"/>
    <s v="Punjab"/>
  </r>
  <r>
    <x v="55"/>
    <d v="2024-05-24T00:00:00"/>
    <x v="0"/>
    <x v="55"/>
    <n v="2"/>
    <n v="1299"/>
    <n v="0.15"/>
    <n v="2208.3000000000002"/>
    <x v="0"/>
    <x v="4"/>
    <s v="Fulfilled by Amazon"/>
    <x v="0"/>
    <s v="Maharashtra"/>
  </r>
  <r>
    <x v="56"/>
    <d v="2024-05-26T00:00:00"/>
    <x v="1"/>
    <x v="56"/>
    <n v="1"/>
    <n v="899"/>
    <n v="0.25"/>
    <n v="674.25"/>
    <x v="0"/>
    <x v="0"/>
    <s v="Fulfilled by Amazon"/>
    <x v="0"/>
    <s v="Gujarat"/>
  </r>
  <r>
    <x v="57"/>
    <d v="2024-05-29T00:00:00"/>
    <x v="2"/>
    <x v="57"/>
    <n v="1"/>
    <n v="2199"/>
    <n v="0.18"/>
    <n v="1803.18"/>
    <x v="0"/>
    <x v="2"/>
    <s v="Merchant"/>
    <x v="0"/>
    <s v="Tamil Nadu"/>
  </r>
  <r>
    <x v="58"/>
    <d v="2024-05-31T00:00:00"/>
    <x v="3"/>
    <x v="58"/>
    <n v="3"/>
    <n v="260"/>
    <n v="0.1"/>
    <n v="702"/>
    <x v="0"/>
    <x v="3"/>
    <s v="Fulfilled by Amazon"/>
    <x v="0"/>
    <s v="Uttar Pradesh"/>
  </r>
  <r>
    <x v="59"/>
    <d v="2024-06-03T00:00:00"/>
    <x v="4"/>
    <x v="59"/>
    <n v="1"/>
    <n v="24490"/>
    <n v="0.12"/>
    <n v="21551.200000000001"/>
    <x v="0"/>
    <x v="1"/>
    <s v="Fulfilled by Amazon"/>
    <x v="0"/>
    <s v="Delhi"/>
  </r>
  <r>
    <x v="60"/>
    <d v="2024-06-05T00:00:00"/>
    <x v="5"/>
    <x v="60"/>
    <n v="2"/>
    <n v="299"/>
    <n v="0.1"/>
    <n v="538.20000000000005"/>
    <x v="0"/>
    <x v="0"/>
    <s v="Merchant"/>
    <x v="0"/>
    <s v="Telangana"/>
  </r>
  <r>
    <x v="61"/>
    <d v="2024-06-08T00:00:00"/>
    <x v="0"/>
    <x v="61"/>
    <n v="1"/>
    <n v="15499"/>
    <n v="0.1"/>
    <n v="13949.1"/>
    <x v="0"/>
    <x v="1"/>
    <s v="Fulfilled by Amazon"/>
    <x v="0"/>
    <s v="Maharashtra"/>
  </r>
  <r>
    <x v="62"/>
    <d v="2024-06-10T00:00:00"/>
    <x v="1"/>
    <x v="62"/>
    <n v="2"/>
    <n v="999"/>
    <n v="0.2"/>
    <n v="1598.4"/>
    <x v="0"/>
    <x v="0"/>
    <s v="Fulfilled by Amazon"/>
    <x v="0"/>
    <s v="Karnataka"/>
  </r>
  <r>
    <x v="63"/>
    <d v="2024-06-13T00:00:00"/>
    <x v="2"/>
    <x v="63"/>
    <n v="3"/>
    <n v="299"/>
    <n v="0.15"/>
    <n v="762.45"/>
    <x v="0"/>
    <x v="3"/>
    <s v="Fulfilled by Amazon"/>
    <x v="0"/>
    <s v="Kerala"/>
  </r>
  <r>
    <x v="64"/>
    <d v="2024-06-15T00:00:00"/>
    <x v="3"/>
    <x v="64"/>
    <n v="1"/>
    <n v="480"/>
    <n v="0.05"/>
    <n v="456"/>
    <x v="0"/>
    <x v="2"/>
    <s v="Fulfilled by Amazon"/>
    <x v="0"/>
    <s v="Rajasthan"/>
  </r>
  <r>
    <x v="65"/>
    <d v="2024-06-18T00:00:00"/>
    <x v="4"/>
    <x v="65"/>
    <n v="1"/>
    <n v="14990"/>
    <n v="0.14000000000000001"/>
    <n v="12891.4"/>
    <x v="0"/>
    <x v="1"/>
    <s v="Fulfilled by Amazon"/>
    <x v="0"/>
    <s v="Andhra Pradesh"/>
  </r>
  <r>
    <x v="66"/>
    <d v="2024-06-20T00:00:00"/>
    <x v="5"/>
    <x v="66"/>
    <n v="1"/>
    <n v="8999"/>
    <n v="0.2"/>
    <n v="7199.2"/>
    <x v="0"/>
    <x v="5"/>
    <s v="Merchant"/>
    <x v="0"/>
    <s v="Haryana"/>
  </r>
  <r>
    <x v="67"/>
    <d v="2024-06-23T00:00:00"/>
    <x v="0"/>
    <x v="67"/>
    <n v="2"/>
    <n v="1199"/>
    <n v="0.18"/>
    <n v="1966.36"/>
    <x v="0"/>
    <x v="0"/>
    <s v="Fulfilled by Amazon"/>
    <x v="1"/>
    <s v="Delhi"/>
  </r>
  <r>
    <x v="68"/>
    <d v="2024-06-25T00:00:00"/>
    <x v="1"/>
    <x v="68"/>
    <n v="1"/>
    <n v="1595"/>
    <n v="0.15"/>
    <n v="1355.75"/>
    <x v="0"/>
    <x v="1"/>
    <s v="Merchant"/>
    <x v="2"/>
    <s v="Maharashtra"/>
  </r>
  <r>
    <x v="69"/>
    <d v="2024-06-28T00:00:00"/>
    <x v="2"/>
    <x v="69"/>
    <n v="1"/>
    <n v="3199"/>
    <n v="0.12"/>
    <n v="2815.12"/>
    <x v="0"/>
    <x v="0"/>
    <s v="Fulfilled by Amazon"/>
    <x v="0"/>
    <s v="Karnataka"/>
  </r>
  <r>
    <x v="70"/>
    <d v="2024-06-30T00:00:00"/>
    <x v="3"/>
    <x v="70"/>
    <n v="2"/>
    <n v="599"/>
    <n v="0.1"/>
    <n v="1078.2"/>
    <x v="0"/>
    <x v="0"/>
    <s v="Fulfilled by Amazon"/>
    <x v="0"/>
    <s v="Tamil Nadu"/>
  </r>
  <r>
    <x v="71"/>
    <d v="2024-07-03T00:00:00"/>
    <x v="4"/>
    <x v="71"/>
    <n v="1"/>
    <n v="3299"/>
    <n v="0.15"/>
    <n v="2804.15"/>
    <x v="0"/>
    <x v="2"/>
    <s v="Fulfilled by Amazon"/>
    <x v="0"/>
    <s v="Delhi"/>
  </r>
  <r>
    <x v="72"/>
    <d v="2024-07-05T00:00:00"/>
    <x v="5"/>
    <x v="72"/>
    <n v="1"/>
    <n v="6499"/>
    <n v="0.22"/>
    <n v="5069.22"/>
    <x v="0"/>
    <x v="1"/>
    <s v="Merchant"/>
    <x v="0"/>
    <s v="Maharashtra"/>
  </r>
  <r>
    <x v="73"/>
    <d v="2024-07-08T00:00:00"/>
    <x v="0"/>
    <x v="73"/>
    <n v="1"/>
    <n v="37990"/>
    <n v="0.08"/>
    <n v="34950.800000000003"/>
    <x v="0"/>
    <x v="1"/>
    <s v="Fulfilled by Amazon"/>
    <x v="0"/>
    <s v="Karnataka"/>
  </r>
  <r>
    <x v="74"/>
    <d v="2024-07-10T00:00:00"/>
    <x v="1"/>
    <x v="74"/>
    <n v="1"/>
    <n v="1399"/>
    <n v="0.25"/>
    <n v="1049.25"/>
    <x v="0"/>
    <x v="4"/>
    <s v="Fulfilled by Amazon"/>
    <x v="0"/>
    <s v="West Bengal"/>
  </r>
  <r>
    <x v="75"/>
    <d v="2024-07-13T00:00:00"/>
    <x v="2"/>
    <x v="75"/>
    <n v="1"/>
    <n v="1699"/>
    <n v="0.15"/>
    <n v="1444.15"/>
    <x v="0"/>
    <x v="0"/>
    <s v="Fulfilled by Amazon"/>
    <x v="0"/>
    <s v="Gujarat"/>
  </r>
  <r>
    <x v="76"/>
    <d v="2024-07-15T00:00:00"/>
    <x v="3"/>
    <x v="76"/>
    <n v="2"/>
    <n v="349"/>
    <n v="0.12"/>
    <n v="614.24"/>
    <x v="0"/>
    <x v="3"/>
    <s v="Merchant"/>
    <x v="1"/>
    <s v="Uttar Pradesh"/>
  </r>
  <r>
    <x v="77"/>
    <d v="2024-07-18T00:00:00"/>
    <x v="4"/>
    <x v="77"/>
    <n v="1"/>
    <n v="5699"/>
    <n v="0.18"/>
    <n v="4673.18"/>
    <x v="0"/>
    <x v="2"/>
    <s v="Fulfilled by Amazon"/>
    <x v="0"/>
    <s v="Telangana"/>
  </r>
  <r>
    <x v="78"/>
    <d v="2024-07-20T00:00:00"/>
    <x v="5"/>
    <x v="78"/>
    <n v="2"/>
    <n v="1299"/>
    <n v="0.15"/>
    <n v="2208.3000000000002"/>
    <x v="0"/>
    <x v="0"/>
    <s v="Merchant"/>
    <x v="0"/>
    <s v="Kerala"/>
  </r>
  <r>
    <x v="79"/>
    <d v="2024-07-23T00:00:00"/>
    <x v="0"/>
    <x v="79"/>
    <n v="3"/>
    <n v="399"/>
    <n v="0.1"/>
    <n v="1077.3"/>
    <x v="0"/>
    <x v="4"/>
    <s v="Fulfilled by Amazon"/>
    <x v="0"/>
    <s v="Maharashtra"/>
  </r>
  <r>
    <x v="80"/>
    <d v="2024-07-25T00:00:00"/>
    <x v="1"/>
    <x v="80"/>
    <n v="1"/>
    <n v="1049"/>
    <n v="0.3"/>
    <n v="734.3"/>
    <x v="0"/>
    <x v="3"/>
    <s v="Fulfilled by Amazon"/>
    <x v="0"/>
    <s v="Delhi"/>
  </r>
  <r>
    <x v="81"/>
    <d v="2024-07-28T00:00:00"/>
    <x v="2"/>
    <x v="81"/>
    <n v="2"/>
    <n v="849"/>
    <n v="0.1"/>
    <n v="1528.2"/>
    <x v="0"/>
    <x v="5"/>
    <s v="Fulfilled by Amazon"/>
    <x v="0"/>
    <s v="Rajasthan"/>
  </r>
  <r>
    <x v="82"/>
    <d v="2024-07-30T00:00:00"/>
    <x v="3"/>
    <x v="82"/>
    <n v="2"/>
    <n v="549"/>
    <n v="0.15"/>
    <n v="933.3"/>
    <x v="0"/>
    <x v="0"/>
    <s v="Fulfilled by Amazon"/>
    <x v="0"/>
    <s v="Karnataka"/>
  </r>
  <r>
    <x v="83"/>
    <d v="2024-08-02T00:00:00"/>
    <x v="4"/>
    <x v="83"/>
    <n v="2"/>
    <n v="1499"/>
    <n v="0.12"/>
    <n v="2638.24"/>
    <x v="0"/>
    <x v="1"/>
    <s v="Fulfilled by Amazon"/>
    <x v="0"/>
    <s v="Tamil Nadu"/>
  </r>
  <r>
    <x v="84"/>
    <d v="2024-08-04T00:00:00"/>
    <x v="5"/>
    <x v="84"/>
    <n v="1"/>
    <n v="999"/>
    <n v="0.1"/>
    <n v="899.1"/>
    <x v="0"/>
    <x v="0"/>
    <s v="Merchant"/>
    <x v="0"/>
    <s v="Punjab"/>
  </r>
  <r>
    <x v="85"/>
    <d v="2024-08-07T00:00:00"/>
    <x v="0"/>
    <x v="85"/>
    <n v="1"/>
    <n v="1699"/>
    <n v="0.12"/>
    <n v="1495.12"/>
    <x v="0"/>
    <x v="4"/>
    <s v="Fulfilled by Amazon"/>
    <x v="0"/>
    <s v="Telangana"/>
  </r>
  <r>
    <x v="86"/>
    <d v="2024-08-09T00:00:00"/>
    <x v="1"/>
    <x v="86"/>
    <n v="2"/>
    <n v="1149"/>
    <n v="0.2"/>
    <n v="1838.4"/>
    <x v="0"/>
    <x v="1"/>
    <s v="Merchant"/>
    <x v="2"/>
    <s v="Madhya Pradesh"/>
  </r>
  <r>
    <x v="87"/>
    <d v="2024-08-12T00:00:00"/>
    <x v="2"/>
    <x v="87"/>
    <n v="1"/>
    <n v="1695"/>
    <n v="0.15"/>
    <n v="1440.75"/>
    <x v="0"/>
    <x v="2"/>
    <s v="Fulfilled by Amazon"/>
    <x v="0"/>
    <s v="Maharashtra"/>
  </r>
  <r>
    <x v="88"/>
    <d v="2024-08-14T00:00:00"/>
    <x v="3"/>
    <x v="88"/>
    <n v="3"/>
    <n v="299"/>
    <n v="0.05"/>
    <n v="852.15"/>
    <x v="0"/>
    <x v="3"/>
    <s v="Fulfilled by Amazon"/>
    <x v="0"/>
    <s v="Uttar Pradesh"/>
  </r>
  <r>
    <x v="89"/>
    <d v="2024-08-17T00:00:00"/>
    <x v="4"/>
    <x v="89"/>
    <n v="1"/>
    <n v="13999"/>
    <n v="0.14000000000000001"/>
    <n v="12039.14"/>
    <x v="0"/>
    <x v="1"/>
    <s v="Fulfilled by Amazon"/>
    <x v="0"/>
    <s v="Karnataka"/>
  </r>
  <r>
    <x v="90"/>
    <d v="2024-08-19T00:00:00"/>
    <x v="5"/>
    <x v="90"/>
    <n v="3"/>
    <n v="950"/>
    <n v="0.08"/>
    <n v="2622"/>
    <x v="0"/>
    <x v="0"/>
    <s v="Merchant"/>
    <x v="0"/>
    <s v="Gujarat"/>
  </r>
  <r>
    <x v="91"/>
    <d v="2024-08-22T00:00:00"/>
    <x v="0"/>
    <x v="91"/>
    <n v="1"/>
    <n v="4499"/>
    <n v="0.15"/>
    <n v="3824.15"/>
    <x v="0"/>
    <x v="4"/>
    <s v="Fulfilled by Amazon"/>
    <x v="0"/>
    <s v="Delhi"/>
  </r>
  <r>
    <x v="92"/>
    <d v="2024-08-24T00:00:00"/>
    <x v="1"/>
    <x v="92"/>
    <n v="1"/>
    <n v="1499"/>
    <n v="0.25"/>
    <n v="1124.25"/>
    <x v="0"/>
    <x v="1"/>
    <s v="Fulfilled by Amazon"/>
    <x v="0"/>
    <s v="Maharashtra"/>
  </r>
  <r>
    <x v="93"/>
    <d v="2024-08-27T00:00:00"/>
    <x v="2"/>
    <x v="93"/>
    <n v="2"/>
    <n v="799"/>
    <n v="0.12"/>
    <n v="1406.24"/>
    <x v="0"/>
    <x v="0"/>
    <s v="Fulfilled by Amazon"/>
    <x v="0"/>
    <s v="Tamil Nadu"/>
  </r>
  <r>
    <x v="94"/>
    <d v="2024-08-29T00:00:00"/>
    <x v="3"/>
    <x v="94"/>
    <n v="1"/>
    <n v="899"/>
    <n v="0.1"/>
    <n v="809.1"/>
    <x v="0"/>
    <x v="2"/>
    <s v="Fulfilled by Amazon"/>
    <x v="0"/>
    <s v="West Bengal"/>
  </r>
  <r>
    <x v="95"/>
    <d v="2024-09-01T00:00:00"/>
    <x v="4"/>
    <x v="95"/>
    <n v="1"/>
    <n v="31990"/>
    <n v="0.16"/>
    <n v="26871.599999999999"/>
    <x v="0"/>
    <x v="1"/>
    <s v="Fulfilled by Amazon"/>
    <x v="0"/>
    <s v="Delhi"/>
  </r>
  <r>
    <x v="96"/>
    <d v="2024-09-03T00:00:00"/>
    <x v="5"/>
    <x v="96"/>
    <n v="3"/>
    <n v="249"/>
    <n v="0.05"/>
    <n v="709.65"/>
    <x v="0"/>
    <x v="3"/>
    <s v="Merchant"/>
    <x v="0"/>
    <s v="Haryana"/>
  </r>
  <r>
    <x v="97"/>
    <d v="2024-09-06T00:00:00"/>
    <x v="0"/>
    <x v="0"/>
    <n v="2"/>
    <n v="1499"/>
    <n v="0.1"/>
    <n v="2698.2"/>
    <x v="0"/>
    <x v="0"/>
    <s v="Fulfilled by Amazon"/>
    <x v="0"/>
    <s v="Maharashtra"/>
  </r>
  <r>
    <x v="98"/>
    <d v="2024-09-08T00:00:00"/>
    <x v="1"/>
    <x v="97"/>
    <n v="1"/>
    <n v="2290"/>
    <n v="0.2"/>
    <n v="1832"/>
    <x v="0"/>
    <x v="1"/>
    <s v="Fulfilled by Amazon"/>
    <x v="0"/>
    <s v="Karnataka"/>
  </r>
  <r>
    <x v="99"/>
    <d v="2024-09-11T00:00:00"/>
    <x v="2"/>
    <x v="98"/>
    <n v="1"/>
    <n v="899"/>
    <n v="0.15"/>
    <n v="764.15"/>
    <x v="0"/>
    <x v="4"/>
    <s v="Fulfilled by Amazon"/>
    <x v="0"/>
    <s v="Telangana"/>
  </r>
  <r>
    <x v="100"/>
    <d v="2024-09-13T00:00:00"/>
    <x v="3"/>
    <x v="99"/>
    <n v="4"/>
    <n v="199"/>
    <n v="0.05"/>
    <n v="756.2"/>
    <x v="0"/>
    <x v="3"/>
    <s v="Fulfilled by Amazon"/>
    <x v="0"/>
    <s v="Kerala"/>
  </r>
  <r>
    <x v="101"/>
    <d v="2024-09-16T00:00:00"/>
    <x v="4"/>
    <x v="100"/>
    <n v="1"/>
    <n v="7490"/>
    <n v="0.2"/>
    <n v="5992"/>
    <x v="0"/>
    <x v="2"/>
    <s v="Merchant"/>
    <x v="0"/>
    <s v="Rajasthan"/>
  </r>
  <r>
    <x v="102"/>
    <d v="2024-09-18T00:00:00"/>
    <x v="5"/>
    <x v="101"/>
    <n v="2"/>
    <n v="349"/>
    <n v="0.1"/>
    <n v="628.20000000000005"/>
    <x v="0"/>
    <x v="0"/>
    <s v="Merchant"/>
    <x v="0"/>
    <s v="Gujarat"/>
  </r>
  <r>
    <x v="103"/>
    <d v="2024-09-21T00:00:00"/>
    <x v="0"/>
    <x v="5"/>
    <n v="1"/>
    <n v="19999"/>
    <n v="0.08"/>
    <n v="18399.080000000002"/>
    <x v="0"/>
    <x v="1"/>
    <s v="Fulfilled by Amazon"/>
    <x v="0"/>
    <s v="Maharashtra"/>
  </r>
  <r>
    <x v="104"/>
    <d v="2024-09-23T00:00:00"/>
    <x v="1"/>
    <x v="102"/>
    <n v="2"/>
    <n v="1099"/>
    <n v="0.22"/>
    <n v="1714.44"/>
    <x v="0"/>
    <x v="0"/>
    <s v="Fulfilled by Amazon"/>
    <x v="0"/>
    <s v="Tamil Nadu"/>
  </r>
  <r>
    <x v="105"/>
    <d v="2024-09-26T00:00:00"/>
    <x v="2"/>
    <x v="2"/>
    <n v="1"/>
    <n v="3299"/>
    <n v="0.15"/>
    <n v="2804.15"/>
    <x v="0"/>
    <x v="2"/>
    <s v="Merchant"/>
    <x v="0"/>
    <s v="Uttar Pradesh"/>
  </r>
  <r>
    <x v="106"/>
    <d v="2024-09-28T00:00:00"/>
    <x v="3"/>
    <x v="103"/>
    <n v="2"/>
    <n v="499"/>
    <n v="0.12"/>
    <n v="878.24"/>
    <x v="0"/>
    <x v="0"/>
    <s v="Fulfilled by Amazon"/>
    <x v="0"/>
    <s v="Delhi"/>
  </r>
  <r>
    <x v="107"/>
    <d v="2024-10-01T00:00:00"/>
    <x v="4"/>
    <x v="104"/>
    <n v="1"/>
    <n v="3895"/>
    <n v="0.18"/>
    <n v="3193.9"/>
    <x v="0"/>
    <x v="1"/>
    <s v="Fulfilled by Amazon"/>
    <x v="0"/>
    <s v="Karnataka"/>
  </r>
  <r>
    <x v="108"/>
    <d v="2024-10-03T00:00:00"/>
    <x v="5"/>
    <x v="105"/>
    <n v="1"/>
    <n v="649"/>
    <n v="0.15"/>
    <n v="551.65"/>
    <x v="0"/>
    <x v="3"/>
    <s v="Merchant"/>
    <x v="1"/>
    <s v="West Bengal"/>
  </r>
  <r>
    <x v="109"/>
    <d v="2024-10-06T00:00:00"/>
    <x v="0"/>
    <x v="9"/>
    <n v="1"/>
    <n v="1799"/>
    <n v="0.18"/>
    <n v="1475.18"/>
    <x v="0"/>
    <x v="4"/>
    <s v="Fulfilled by Amazon"/>
    <x v="0"/>
    <s v="Maharashtra"/>
  </r>
  <r>
    <x v="110"/>
    <d v="2024-10-08T00:00:00"/>
    <x v="1"/>
    <x v="1"/>
    <n v="1"/>
    <n v="2499"/>
    <n v="0.2"/>
    <n v="1999.2"/>
    <x v="0"/>
    <x v="0"/>
    <s v="Fulfilled by Amazon"/>
    <x v="0"/>
    <s v="Delhi"/>
  </r>
  <r>
    <x v="111"/>
    <d v="2024-10-11T00:00:00"/>
    <x v="2"/>
    <x v="8"/>
    <n v="1"/>
    <n v="1899"/>
    <n v="0.15"/>
    <n v="1614.15"/>
    <x v="0"/>
    <x v="2"/>
    <s v="Fulfilled by Amazon"/>
    <x v="0"/>
    <s v="Karnataka"/>
  </r>
  <r>
    <x v="112"/>
    <d v="2024-10-13T00:00:00"/>
    <x v="3"/>
    <x v="3"/>
    <n v="3"/>
    <n v="399"/>
    <n v="0.05"/>
    <n v="1137.1500000000001"/>
    <x v="0"/>
    <x v="3"/>
    <s v="Fulfilled by Amazon"/>
    <x v="0"/>
    <s v="Maharashtra"/>
  </r>
  <r>
    <x v="113"/>
    <d v="2024-10-16T00:00:00"/>
    <x v="4"/>
    <x v="4"/>
    <n v="1"/>
    <n v="7999"/>
    <n v="0.25"/>
    <n v="5999.25"/>
    <x v="0"/>
    <x v="1"/>
    <s v="Fulfilled by Amazon"/>
    <x v="0"/>
    <s v="Telangana"/>
  </r>
  <r>
    <x v="114"/>
    <d v="2024-10-18T00:00:00"/>
    <x v="5"/>
    <x v="6"/>
    <n v="2"/>
    <n v="499"/>
    <n v="0.1"/>
    <n v="898.2"/>
    <x v="0"/>
    <x v="0"/>
    <s v="Merchant"/>
    <x v="0"/>
    <s v="Tamil Nadu"/>
  </r>
  <r>
    <x v="115"/>
    <d v="2024-10-21T00:00:00"/>
    <x v="0"/>
    <x v="13"/>
    <n v="2"/>
    <n v="2495"/>
    <n v="0.12"/>
    <n v="4391.2"/>
    <x v="0"/>
    <x v="4"/>
    <s v="Fulfilled by Amazon"/>
    <x v="0"/>
    <s v="West Bengal"/>
  </r>
  <r>
    <x v="116"/>
    <d v="2024-10-23T00:00:00"/>
    <x v="1"/>
    <x v="7"/>
    <n v="2"/>
    <n v="1299"/>
    <n v="0.28000000000000003"/>
    <n v="1870.56"/>
    <x v="0"/>
    <x v="1"/>
    <s v="Fulfilled by Amazon"/>
    <x v="1"/>
    <s v="Gujarat"/>
  </r>
  <r>
    <x v="117"/>
    <d v="2024-10-26T00:00:00"/>
    <x v="2"/>
    <x v="15"/>
    <n v="2"/>
    <n v="980"/>
    <n v="0.08"/>
    <n v="1803.2"/>
    <x v="0"/>
    <x v="2"/>
    <s v="Fulfilled by Amazon"/>
    <x v="0"/>
    <s v="Kerala"/>
  </r>
  <r>
    <x v="118"/>
    <d v="2024-10-28T00:00:00"/>
    <x v="3"/>
    <x v="10"/>
    <n v="3"/>
    <n v="650"/>
    <n v="0.1"/>
    <n v="1755"/>
    <x v="0"/>
    <x v="3"/>
    <s v="Fulfilled by Amazon"/>
    <x v="0"/>
    <s v="Uttar Pradesh"/>
  </r>
  <r>
    <x v="119"/>
    <d v="2024-10-31T00:00:00"/>
    <x v="4"/>
    <x v="11"/>
    <n v="1"/>
    <n v="2899"/>
    <n v="0.18"/>
    <n v="2377.1799999999998"/>
    <x v="0"/>
    <x v="0"/>
    <s v="Fulfilled by Amazon"/>
    <x v="0"/>
    <s v="Maharashtra"/>
  </r>
  <r>
    <x v="120"/>
    <d v="2024-11-02T00:00:00"/>
    <x v="5"/>
    <x v="14"/>
    <n v="1"/>
    <n v="1249"/>
    <n v="0.15"/>
    <n v="1061.6500000000001"/>
    <x v="0"/>
    <x v="0"/>
    <s v="Merchant"/>
    <x v="0"/>
    <s v="Rajasthan"/>
  </r>
  <r>
    <x v="121"/>
    <d v="2024-11-05T00:00:00"/>
    <x v="0"/>
    <x v="17"/>
    <n v="2"/>
    <n v="1399"/>
    <n v="0.2"/>
    <n v="2238.4"/>
    <x v="0"/>
    <x v="1"/>
    <s v="Merchant"/>
    <x v="0"/>
    <s v="Delhi"/>
  </r>
  <r>
    <x v="122"/>
    <d v="2024-11-07T00:00:00"/>
    <x v="1"/>
    <x v="12"/>
    <n v="1"/>
    <n v="3499"/>
    <n v="0.22"/>
    <n v="2729.22"/>
    <x v="0"/>
    <x v="1"/>
    <s v="Merchant"/>
    <x v="2"/>
    <s v="Karnataka"/>
  </r>
  <r>
    <x v="123"/>
    <d v="2024-11-10T00:00:00"/>
    <x v="2"/>
    <x v="21"/>
    <n v="1"/>
    <n v="1750"/>
    <n v="0.1"/>
    <n v="1575"/>
    <x v="0"/>
    <x v="5"/>
    <s v="Fulfilled by Amazon"/>
    <x v="0"/>
    <s v="Telangana"/>
  </r>
  <r>
    <x v="124"/>
    <d v="2024-11-12T00:00:00"/>
    <x v="3"/>
    <x v="16"/>
    <n v="2"/>
    <n v="599"/>
    <n v="0.12"/>
    <n v="1054.24"/>
    <x v="0"/>
    <x v="0"/>
    <s v="Fulfilled by Amazon"/>
    <x v="0"/>
    <s v="Madhya Pradesh"/>
  </r>
  <r>
    <x v="125"/>
    <d v="2024-11-15T00:00:00"/>
    <x v="4"/>
    <x v="18"/>
    <n v="1"/>
    <n v="7792"/>
    <n v="0.2"/>
    <n v="6233.6"/>
    <x v="0"/>
    <x v="1"/>
    <s v="Fulfilled by Amazon"/>
    <x v="0"/>
    <s v="Maharashtra"/>
  </r>
  <r>
    <x v="126"/>
    <d v="2024-11-17T00:00:00"/>
    <x v="5"/>
    <x v="23"/>
    <n v="2"/>
    <n v="480"/>
    <n v="0.05"/>
    <n v="912"/>
    <x v="0"/>
    <x v="0"/>
    <s v="Fulfilled by Amazon"/>
    <x v="0"/>
    <s v="Tamil Nadu"/>
  </r>
  <r>
    <x v="127"/>
    <d v="2024-11-20T00:00:00"/>
    <x v="0"/>
    <x v="19"/>
    <n v="1"/>
    <n v="16999"/>
    <n v="0.15"/>
    <n v="14449.15"/>
    <x v="0"/>
    <x v="4"/>
    <s v="Fulfilled by Amazon"/>
    <x v="0"/>
    <s v="Delhi"/>
  </r>
  <r>
    <x v="128"/>
    <d v="2024-11-22T00:00:00"/>
    <x v="1"/>
    <x v="20"/>
    <n v="2"/>
    <n v="1199"/>
    <n v="0.25"/>
    <n v="1798.5"/>
    <x v="0"/>
    <x v="0"/>
    <s v="Fulfilled by Amazon"/>
    <x v="0"/>
    <s v="Gujarat"/>
  </r>
  <r>
    <x v="129"/>
    <d v="2024-11-25T00:00:00"/>
    <x v="2"/>
    <x v="28"/>
    <n v="1"/>
    <n v="995"/>
    <n v="0.1"/>
    <n v="895.5"/>
    <x v="0"/>
    <x v="3"/>
    <s v="Fulfilled by Amazon"/>
    <x v="0"/>
    <s v="West Bengal"/>
  </r>
  <r>
    <x v="130"/>
    <d v="2024-11-27T00:00:00"/>
    <x v="3"/>
    <x v="22"/>
    <n v="2"/>
    <n v="499"/>
    <n v="0.15"/>
    <n v="848.3"/>
    <x v="0"/>
    <x v="3"/>
    <s v="Merchant"/>
    <x v="1"/>
    <s v="Haryana"/>
  </r>
  <r>
    <x v="131"/>
    <d v="2024-11-30T00:00:00"/>
    <x v="4"/>
    <x v="25"/>
    <n v="2"/>
    <n v="2199"/>
    <n v="0.12"/>
    <n v="3870.24"/>
    <x v="0"/>
    <x v="2"/>
    <s v="Fulfilled by Amazon"/>
    <x v="0"/>
    <s v="Karnataka"/>
  </r>
  <r>
    <x v="132"/>
    <d v="2024-12-02T00:00:00"/>
    <x v="5"/>
    <x v="30"/>
    <n v="2"/>
    <n v="699"/>
    <n v="0.15"/>
    <n v="1188.3"/>
    <x v="0"/>
    <x v="3"/>
    <s v="Merchant"/>
    <x v="0"/>
    <s v="Maharashtra"/>
  </r>
  <r>
    <x v="133"/>
    <d v="2024-12-05T00:00:00"/>
    <x v="0"/>
    <x v="24"/>
    <n v="1"/>
    <n v="2999"/>
    <n v="0.18"/>
    <n v="2459.1799999999998"/>
    <x v="0"/>
    <x v="1"/>
    <s v="Fulfilled by Amazon"/>
    <x v="0"/>
    <s v="Telangana"/>
  </r>
  <r>
    <x v="134"/>
    <d v="2024-12-07T00:00:00"/>
    <x v="1"/>
    <x v="26"/>
    <n v="1"/>
    <n v="1899"/>
    <n v="0.3"/>
    <n v="1329.3"/>
    <x v="0"/>
    <x v="0"/>
    <s v="Merchant"/>
    <x v="0"/>
    <s v="Andhra Pradesh"/>
  </r>
  <r>
    <x v="135"/>
    <d v="2024-12-10T00:00:00"/>
    <x v="2"/>
    <x v="34"/>
    <n v="2"/>
    <n v="449"/>
    <n v="0.1"/>
    <n v="808.2"/>
    <x v="0"/>
    <x v="4"/>
    <s v="Fulfilled by Amazon"/>
    <x v="0"/>
    <s v="Tamil Nadu"/>
  </r>
  <r>
    <x v="136"/>
    <d v="2024-12-12T00:00:00"/>
    <x v="3"/>
    <x v="29"/>
    <n v="3"/>
    <n v="549"/>
    <n v="0.05"/>
    <n v="1564.65"/>
    <x v="0"/>
    <x v="0"/>
    <s v="Fulfilled by Amazon"/>
    <x v="0"/>
    <s v="Delhi"/>
  </r>
  <r>
    <x v="137"/>
    <d v="2024-12-15T00:00:00"/>
    <x v="4"/>
    <x v="33"/>
    <n v="1"/>
    <n v="14999"/>
    <n v="0.15"/>
    <n v="12749.15"/>
    <x v="0"/>
    <x v="1"/>
    <s v="Fulfilled by Amazon"/>
    <x v="0"/>
    <s v="Maharashtra"/>
  </r>
  <r>
    <x v="138"/>
    <d v="2024-12-17T00:00:00"/>
    <x v="5"/>
    <x v="37"/>
    <n v="2"/>
    <n v="599"/>
    <n v="0.1"/>
    <n v="1078.2"/>
    <x v="0"/>
    <x v="3"/>
    <s v="Fulfilled by Amazon"/>
    <x v="0"/>
    <s v="Punjab"/>
  </r>
  <r>
    <x v="139"/>
    <d v="2024-12-20T00:00:00"/>
    <x v="0"/>
    <x v="27"/>
    <n v="1"/>
    <n v="10999"/>
    <n v="0.08"/>
    <n v="10119.08"/>
    <x v="0"/>
    <x v="1"/>
    <s v="Fulfilled by Amazon"/>
    <x v="0"/>
    <s v="Karnataka"/>
  </r>
  <r>
    <x v="140"/>
    <d v="2024-12-22T00:00:00"/>
    <x v="1"/>
    <x v="32"/>
    <n v="1"/>
    <n v="1699"/>
    <n v="0.32"/>
    <n v="1155.32"/>
    <x v="0"/>
    <x v="0"/>
    <s v="Fulfilled by Amazon"/>
    <x v="0"/>
    <s v="Uttar Pradesh"/>
  </r>
  <r>
    <x v="141"/>
    <d v="2024-12-25T00:00:00"/>
    <x v="2"/>
    <x v="41"/>
    <n v="3"/>
    <n v="349"/>
    <n v="0.1"/>
    <n v="942.3"/>
    <x v="0"/>
    <x v="0"/>
    <s v="Fulfilled by Amazon"/>
    <x v="0"/>
    <s v="Gujarat"/>
  </r>
  <r>
    <x v="142"/>
    <d v="2024-12-27T00:00:00"/>
    <x v="3"/>
    <x v="36"/>
    <n v="1"/>
    <n v="1475"/>
    <n v="0.05"/>
    <n v="1401.25"/>
    <x v="0"/>
    <x v="1"/>
    <s v="Fulfilled by Amazon"/>
    <x v="0"/>
    <s v="West Bengal"/>
  </r>
  <r>
    <x v="143"/>
    <d v="2024-12-30T00:00:00"/>
    <x v="4"/>
    <x v="38"/>
    <n v="1"/>
    <n v="6299"/>
    <n v="0.18"/>
    <n v="5165.18"/>
    <x v="0"/>
    <x v="2"/>
    <s v="Fulfilled by Amazon"/>
    <x v="0"/>
    <s v="Delhi"/>
  </r>
  <r>
    <x v="144"/>
    <d v="2025-01-02T00:00:00"/>
    <x v="5"/>
    <x v="43"/>
    <n v="1"/>
    <n v="28990"/>
    <n v="0.22"/>
    <n v="22612.2"/>
    <x v="0"/>
    <x v="1"/>
    <s v="Merchant"/>
    <x v="0"/>
    <s v="Maharashtra"/>
  </r>
  <r>
    <x v="145"/>
    <d v="2025-01-04T00:00:00"/>
    <x v="0"/>
    <x v="31"/>
    <n v="3"/>
    <n v="849"/>
    <n v="0.2"/>
    <n v="2037.6"/>
    <x v="0"/>
    <x v="5"/>
    <s v="Fulfilled by Amazon"/>
    <x v="0"/>
    <s v="Karnataka"/>
  </r>
  <r>
    <x v="146"/>
    <d v="2025-01-07T00:00:00"/>
    <x v="1"/>
    <x v="39"/>
    <n v="2"/>
    <n v="1499"/>
    <n v="0.25"/>
    <n v="2248.5"/>
    <x v="0"/>
    <x v="1"/>
    <s v="Merchant"/>
    <x v="2"/>
    <s v="Telangana"/>
  </r>
  <r>
    <x v="147"/>
    <d v="2025-01-09T00:00:00"/>
    <x v="2"/>
    <x v="47"/>
    <n v="1"/>
    <n v="2699"/>
    <n v="0.18"/>
    <n v="2213.1799999999998"/>
    <x v="0"/>
    <x v="0"/>
    <s v="Merchant"/>
    <x v="1"/>
    <s v="Tamil Nadu"/>
  </r>
  <r>
    <x v="148"/>
    <d v="2025-01-12T00:00:00"/>
    <x v="3"/>
    <x v="42"/>
    <n v="2"/>
    <n v="345"/>
    <n v="0.15"/>
    <n v="586.5"/>
    <x v="0"/>
    <x v="4"/>
    <s v="Fulfilled by Amazon"/>
    <x v="0"/>
    <s v="Kerala"/>
  </r>
  <r>
    <x v="149"/>
    <d v="2025-01-14T00:00:00"/>
    <x v="4"/>
    <x v="46"/>
    <n v="1"/>
    <n v="27490"/>
    <n v="0.15"/>
    <n v="23366.5"/>
    <x v="0"/>
    <x v="2"/>
    <s v="Fulfilled by Amazon"/>
    <x v="0"/>
    <s v="Maharashtra"/>
  </r>
  <r>
    <x v="150"/>
    <d v="2025-01-16T00:00:00"/>
    <x v="5"/>
    <x v="6"/>
    <n v="2"/>
    <n v="499"/>
    <n v="0.1"/>
    <n v="898.2"/>
    <x v="0"/>
    <x v="0"/>
    <s v="Merchant"/>
    <x v="0"/>
    <s v="Delhi"/>
  </r>
  <r>
    <x v="151"/>
    <d v="2025-01-19T00:00:00"/>
    <x v="0"/>
    <x v="40"/>
    <n v="1"/>
    <n v="24999"/>
    <n v="0.2"/>
    <n v="19999.2"/>
    <x v="0"/>
    <x v="1"/>
    <s v="Fulfilled by Amazon"/>
    <x v="0"/>
    <s v="Maharashtra"/>
  </r>
  <r>
    <x v="152"/>
    <d v="2025-01-21T00:00:00"/>
    <x v="1"/>
    <x v="45"/>
    <n v="2"/>
    <n v="1599"/>
    <n v="0.3"/>
    <n v="2238.6"/>
    <x v="0"/>
    <x v="0"/>
    <s v="Fulfilled by Amazon"/>
    <x v="0"/>
    <s v="Karnataka"/>
  </r>
  <r>
    <x v="153"/>
    <d v="2025-01-24T00:00:00"/>
    <x v="2"/>
    <x v="2"/>
    <n v="1"/>
    <n v="3299"/>
    <n v="0.15"/>
    <n v="2804.15"/>
    <x v="0"/>
    <x v="2"/>
    <s v="Fulfilled by Amazon"/>
    <x v="0"/>
    <s v="Tamil Nadu"/>
  </r>
  <r>
    <x v="154"/>
    <d v="2025-01-26T00:00:00"/>
    <x v="3"/>
    <x v="48"/>
    <n v="2"/>
    <n v="420"/>
    <n v="0.1"/>
    <n v="756"/>
    <x v="0"/>
    <x v="3"/>
    <s v="Fulfilled by Amazon"/>
    <x v="0"/>
    <s v="Uttar Pradesh"/>
  </r>
  <r>
    <x v="155"/>
    <d v="2025-01-29T00:00:00"/>
    <x v="4"/>
    <x v="53"/>
    <n v="1"/>
    <n v="23990"/>
    <n v="0.15"/>
    <n v="20391.5"/>
    <x v="0"/>
    <x v="1"/>
    <s v="Fulfilled by Amazon"/>
    <x v="0"/>
    <s v="Telangana"/>
  </r>
  <r>
    <x v="156"/>
    <d v="2025-01-31T00:00:00"/>
    <x v="5"/>
    <x v="14"/>
    <n v="1"/>
    <n v="1249"/>
    <n v="0.15"/>
    <n v="1061.6500000000001"/>
    <x v="0"/>
    <x v="0"/>
    <s v="Merchant"/>
    <x v="0"/>
    <s v="Gujarat"/>
  </r>
  <r>
    <x v="157"/>
    <d v="2025-02-03T00:00:00"/>
    <x v="0"/>
    <x v="44"/>
    <n v="1"/>
    <n v="29990"/>
    <n v="0.1"/>
    <n v="26991"/>
    <x v="0"/>
    <x v="1"/>
    <s v="Fulfilled by Amazon"/>
    <x v="0"/>
    <s v="Delhi"/>
  </r>
  <r>
    <x v="158"/>
    <d v="2025-02-05T00:00:00"/>
    <x v="1"/>
    <x v="50"/>
    <n v="2"/>
    <n v="1299"/>
    <n v="0.2"/>
    <n v="2078.4"/>
    <x v="0"/>
    <x v="0"/>
    <s v="Fulfilled by Amazon"/>
    <x v="0"/>
    <s v="Maharashtra"/>
  </r>
  <r>
    <x v="159"/>
    <d v="2025-02-08T00:00:00"/>
    <x v="2"/>
    <x v="8"/>
    <n v="1"/>
    <n v="1899"/>
    <n v="0.15"/>
    <n v="1614.15"/>
    <x v="0"/>
    <x v="0"/>
    <s v="Fulfilled by Amazon"/>
    <x v="0"/>
    <s v="West Bengal"/>
  </r>
  <r>
    <x v="160"/>
    <d v="2025-02-10T00:00:00"/>
    <x v="3"/>
    <x v="52"/>
    <n v="3"/>
    <n v="445"/>
    <n v="0.08"/>
    <n v="1228.2"/>
    <x v="0"/>
    <x v="4"/>
    <s v="Fulfilled by Amazon"/>
    <x v="0"/>
    <s v="Kerala"/>
  </r>
  <r>
    <x v="161"/>
    <d v="2025-02-13T00:00:00"/>
    <x v="4"/>
    <x v="59"/>
    <n v="1"/>
    <n v="24490"/>
    <n v="0.12"/>
    <n v="21551.200000000001"/>
    <x v="0"/>
    <x v="1"/>
    <s v="Fulfilled by Amazon"/>
    <x v="0"/>
    <s v="Karnataka"/>
  </r>
  <r>
    <x v="162"/>
    <d v="2025-02-15T00:00:00"/>
    <x v="5"/>
    <x v="23"/>
    <n v="2"/>
    <n v="480"/>
    <n v="0.05"/>
    <n v="912"/>
    <x v="0"/>
    <x v="3"/>
    <s v="Fulfilled by Amazon"/>
    <x v="0"/>
    <s v="Rajasthan"/>
  </r>
  <r>
    <x v="163"/>
    <d v="2025-02-18T00:00:00"/>
    <x v="0"/>
    <x v="49"/>
    <n v="1"/>
    <n v="3199"/>
    <n v="0.14000000000000001"/>
    <n v="2751.14"/>
    <x v="0"/>
    <x v="4"/>
    <s v="Fulfilled by Amazon"/>
    <x v="0"/>
    <s v="Maharashtra"/>
  </r>
  <r>
    <x v="164"/>
    <d v="2025-02-20T00:00:00"/>
    <x v="1"/>
    <x v="56"/>
    <n v="1"/>
    <n v="899"/>
    <n v="0.25"/>
    <n v="674.25"/>
    <x v="0"/>
    <x v="0"/>
    <s v="Fulfilled by Amazon"/>
    <x v="0"/>
    <s v="Tamil Nadu"/>
  </r>
  <r>
    <x v="165"/>
    <d v="2025-02-23T00:00:00"/>
    <x v="2"/>
    <x v="51"/>
    <n v="1"/>
    <n v="2150"/>
    <n v="0.12"/>
    <n v="1892"/>
    <x v="0"/>
    <x v="2"/>
    <s v="Fulfilled by Amazon"/>
    <x v="0"/>
    <s v="Andhra Pradesh"/>
  </r>
  <r>
    <x v="166"/>
    <d v="2025-02-25T00:00:00"/>
    <x v="3"/>
    <x v="58"/>
    <n v="3"/>
    <n v="260"/>
    <n v="0.1"/>
    <n v="702"/>
    <x v="0"/>
    <x v="3"/>
    <s v="Fulfilled by Amazon"/>
    <x v="0"/>
    <s v="Madhya Pradesh"/>
  </r>
  <r>
    <x v="167"/>
    <d v="2025-02-28T00:00:00"/>
    <x v="4"/>
    <x v="65"/>
    <n v="1"/>
    <n v="14990"/>
    <n v="0.14000000000000001"/>
    <n v="12891.4"/>
    <x v="0"/>
    <x v="1"/>
    <s v="Fulfilled by Amazon"/>
    <x v="0"/>
    <s v="Delhi"/>
  </r>
  <r>
    <x v="168"/>
    <d v="2025-03-02T00:00:00"/>
    <x v="5"/>
    <x v="30"/>
    <n v="2"/>
    <n v="699"/>
    <n v="0.15"/>
    <n v="1188.3"/>
    <x v="0"/>
    <x v="3"/>
    <s v="Merchant"/>
    <x v="1"/>
    <s v="Maharashtra"/>
  </r>
  <r>
    <x v="169"/>
    <d v="2025-03-05T00:00:00"/>
    <x v="0"/>
    <x v="55"/>
    <n v="2"/>
    <n v="1299"/>
    <n v="0.15"/>
    <n v="2208.3000000000002"/>
    <x v="0"/>
    <x v="4"/>
    <s v="Fulfilled by Amazon"/>
    <x v="0"/>
    <s v="Karnataka"/>
  </r>
  <r>
    <x v="170"/>
    <d v="2025-03-07T00:00:00"/>
    <x v="1"/>
    <x v="62"/>
    <n v="2"/>
    <n v="999"/>
    <n v="0.2"/>
    <n v="1598.4"/>
    <x v="0"/>
    <x v="0"/>
    <s v="Fulfilled by Amazon"/>
    <x v="0"/>
    <s v="Telangana"/>
  </r>
  <r>
    <x v="171"/>
    <d v="2025-03-10T00:00:00"/>
    <x v="2"/>
    <x v="57"/>
    <n v="1"/>
    <n v="2199"/>
    <n v="0.18"/>
    <n v="1803.18"/>
    <x v="0"/>
    <x v="2"/>
    <s v="Merchant"/>
    <x v="0"/>
    <s v="Gujarat"/>
  </r>
  <r>
    <x v="172"/>
    <d v="2025-03-12T00:00:00"/>
    <x v="3"/>
    <x v="64"/>
    <n v="1"/>
    <n v="480"/>
    <n v="0.05"/>
    <n v="456"/>
    <x v="0"/>
    <x v="0"/>
    <s v="Fulfilled by Amazon"/>
    <x v="0"/>
    <s v="West Bengal"/>
  </r>
  <r>
    <x v="173"/>
    <d v="2025-03-15T00:00:00"/>
    <x v="4"/>
    <x v="71"/>
    <n v="1"/>
    <n v="3299"/>
    <n v="0.15"/>
    <n v="2804.15"/>
    <x v="0"/>
    <x v="1"/>
    <s v="Fulfilled by Amazon"/>
    <x v="0"/>
    <s v="Delhi"/>
  </r>
  <r>
    <x v="174"/>
    <d v="2025-03-17T00:00:00"/>
    <x v="5"/>
    <x v="37"/>
    <n v="2"/>
    <n v="599"/>
    <n v="0.1"/>
    <n v="1078.2"/>
    <x v="0"/>
    <x v="0"/>
    <s v="Fulfilled by Amazon"/>
    <x v="0"/>
    <s v="Tamil Nadu"/>
  </r>
  <r>
    <x v="175"/>
    <d v="2025-03-20T00:00:00"/>
    <x v="0"/>
    <x v="61"/>
    <n v="1"/>
    <n v="15499"/>
    <n v="0.1"/>
    <n v="13949.1"/>
    <x v="0"/>
    <x v="1"/>
    <s v="Fulfilled by Amazon"/>
    <x v="0"/>
    <s v="Maharashtra"/>
  </r>
  <r>
    <x v="176"/>
    <d v="2025-03-22T00:00:00"/>
    <x v="1"/>
    <x v="68"/>
    <n v="1"/>
    <n v="1595"/>
    <n v="0.15"/>
    <n v="1355.75"/>
    <x v="0"/>
    <x v="1"/>
    <s v="Merchant"/>
    <x v="2"/>
    <s v="Karnataka"/>
  </r>
  <r>
    <x v="177"/>
    <d v="2025-03-25T00:00:00"/>
    <x v="2"/>
    <x v="63"/>
    <n v="3"/>
    <n v="299"/>
    <n v="0.15"/>
    <n v="762.45"/>
    <x v="0"/>
    <x v="3"/>
    <s v="Fulfilled by Amazon"/>
    <x v="0"/>
    <s v="Uttar Pradesh"/>
  </r>
  <r>
    <x v="178"/>
    <d v="2025-03-27T00:00:00"/>
    <x v="3"/>
    <x v="70"/>
    <n v="2"/>
    <n v="599"/>
    <n v="0.1"/>
    <n v="1078.2"/>
    <x v="0"/>
    <x v="0"/>
    <s v="Fulfilled by Amazon"/>
    <x v="0"/>
    <s v="Kerala"/>
  </r>
  <r>
    <x v="179"/>
    <d v="2025-03-30T00:00:00"/>
    <x v="4"/>
    <x v="77"/>
    <n v="1"/>
    <n v="5699"/>
    <n v="0.18"/>
    <n v="4673.18"/>
    <x v="0"/>
    <x v="2"/>
    <s v="Fulfilled by Amazon"/>
    <x v="0"/>
    <s v="Telangana"/>
  </r>
  <r>
    <x v="180"/>
    <d v="2025-04-01T00:00:00"/>
    <x v="5"/>
    <x v="54"/>
    <n v="4"/>
    <n v="399"/>
    <n v="0.05"/>
    <n v="1516.2"/>
    <x v="0"/>
    <x v="3"/>
    <s v="Merchant"/>
    <x v="0"/>
    <s v="Punjab"/>
  </r>
  <r>
    <x v="181"/>
    <d v="2025-04-04T00:00:00"/>
    <x v="0"/>
    <x v="67"/>
    <n v="2"/>
    <n v="1199"/>
    <n v="0.18"/>
    <n v="1966.36"/>
    <x v="0"/>
    <x v="0"/>
    <s v="Fulfilled by Amazon"/>
    <x v="1"/>
    <s v="Maharashtra"/>
  </r>
  <r>
    <x v="182"/>
    <d v="2025-04-06T00:00:00"/>
    <x v="1"/>
    <x v="74"/>
    <n v="1"/>
    <n v="1399"/>
    <n v="0.25"/>
    <n v="1049.25"/>
    <x v="0"/>
    <x v="4"/>
    <s v="Fulfilled by Amazon"/>
    <x v="0"/>
    <s v="Delhi"/>
  </r>
  <r>
    <x v="183"/>
    <d v="2025-04-09T00:00:00"/>
    <x v="2"/>
    <x v="69"/>
    <n v="1"/>
    <n v="3199"/>
    <n v="0.12"/>
    <n v="2815.12"/>
    <x v="0"/>
    <x v="0"/>
    <s v="Fulfilled by Amazon"/>
    <x v="0"/>
    <s v="Gujarat"/>
  </r>
  <r>
    <x v="184"/>
    <d v="2025-04-11T00:00:00"/>
    <x v="3"/>
    <x v="76"/>
    <n v="2"/>
    <n v="349"/>
    <n v="0.12"/>
    <n v="614.24"/>
    <x v="0"/>
    <x v="3"/>
    <s v="Merchant"/>
    <x v="0"/>
    <s v="Rajasthan"/>
  </r>
  <r>
    <x v="185"/>
    <d v="2025-04-14T00:00:00"/>
    <x v="4"/>
    <x v="83"/>
    <n v="2"/>
    <n v="1499"/>
    <n v="0.12"/>
    <n v="2638.24"/>
    <x v="0"/>
    <x v="1"/>
    <s v="Fulfilled by Amazon"/>
    <x v="0"/>
    <s v="Karnataka"/>
  </r>
  <r>
    <x v="186"/>
    <d v="2025-04-16T00:00:00"/>
    <x v="5"/>
    <x v="60"/>
    <n v="2"/>
    <n v="299"/>
    <n v="0.1"/>
    <n v="538.20000000000005"/>
    <x v="0"/>
    <x v="0"/>
    <s v="Merchant"/>
    <x v="0"/>
    <s v="Tamil Nadu"/>
  </r>
  <r>
    <x v="187"/>
    <d v="2025-04-19T00:00:00"/>
    <x v="0"/>
    <x v="73"/>
    <n v="1"/>
    <n v="37990"/>
    <n v="0.08"/>
    <n v="34950.800000000003"/>
    <x v="0"/>
    <x v="1"/>
    <s v="Fulfilled by Amazon"/>
    <x v="0"/>
    <s v="Maharashtra"/>
  </r>
  <r>
    <x v="188"/>
    <d v="2025-04-21T00:00:00"/>
    <x v="1"/>
    <x v="80"/>
    <n v="1"/>
    <n v="1049"/>
    <n v="0.3"/>
    <n v="734.3"/>
    <x v="0"/>
    <x v="3"/>
    <s v="Fulfilled by Amazon"/>
    <x v="0"/>
    <s v="West Bengal"/>
  </r>
  <r>
    <x v="189"/>
    <d v="2025-04-24T00:00:00"/>
    <x v="2"/>
    <x v="75"/>
    <n v="1"/>
    <n v="1699"/>
    <n v="0.15"/>
    <n v="1444.15"/>
    <x v="0"/>
    <x v="0"/>
    <s v="Fulfilled by Amazon"/>
    <x v="0"/>
    <s v="Delhi"/>
  </r>
  <r>
    <x v="190"/>
    <d v="2025-04-26T00:00:00"/>
    <x v="3"/>
    <x v="82"/>
    <n v="2"/>
    <n v="549"/>
    <n v="0.15"/>
    <n v="933.3"/>
    <x v="0"/>
    <x v="0"/>
    <s v="Fulfilled by Amazon"/>
    <x v="0"/>
    <s v="Maharashtra"/>
  </r>
  <r>
    <x v="191"/>
    <d v="2025-04-29T00:00:00"/>
    <x v="4"/>
    <x v="89"/>
    <n v="1"/>
    <n v="13999"/>
    <n v="0.14000000000000001"/>
    <n v="12039.14"/>
    <x v="0"/>
    <x v="1"/>
    <s v="Fulfilled by Amazon"/>
    <x v="0"/>
    <s v="Karnataka"/>
  </r>
  <r>
    <x v="192"/>
    <d v="2025-05-01T00:00:00"/>
    <x v="5"/>
    <x v="72"/>
    <n v="1"/>
    <n v="6499"/>
    <n v="0.22"/>
    <n v="5069.22"/>
    <x v="0"/>
    <x v="5"/>
    <s v="Merchant"/>
    <x v="0"/>
    <s v="Tamil Nadu"/>
  </r>
  <r>
    <x v="193"/>
    <d v="2025-05-04T00:00:00"/>
    <x v="0"/>
    <x v="79"/>
    <n v="3"/>
    <n v="399"/>
    <n v="0.1"/>
    <n v="1077.3"/>
    <x v="0"/>
    <x v="4"/>
    <s v="Fulfilled by Amazon"/>
    <x v="0"/>
    <s v="Telangana"/>
  </r>
  <r>
    <x v="194"/>
    <d v="2025-05-06T00:00:00"/>
    <x v="1"/>
    <x v="86"/>
    <n v="2"/>
    <n v="1149"/>
    <n v="0.2"/>
    <n v="1838.4"/>
    <x v="0"/>
    <x v="1"/>
    <s v="Merchant"/>
    <x v="2"/>
    <s v="Delhi"/>
  </r>
  <r>
    <x v="195"/>
    <d v="2025-05-09T00:00:00"/>
    <x v="2"/>
    <x v="81"/>
    <n v="2"/>
    <n v="849"/>
    <n v="0.1"/>
    <n v="1528.2"/>
    <x v="0"/>
    <x v="2"/>
    <s v="Fulfilled by Amazon"/>
    <x v="0"/>
    <s v="Uttar Pradesh"/>
  </r>
  <r>
    <x v="196"/>
    <d v="2025-05-11T00:00:00"/>
    <x v="3"/>
    <x v="88"/>
    <n v="3"/>
    <n v="299"/>
    <n v="0.05"/>
    <n v="852.15"/>
    <x v="0"/>
    <x v="3"/>
    <s v="Fulfilled by Amazon"/>
    <x v="0"/>
    <s v="Gujarat"/>
  </r>
  <r>
    <x v="197"/>
    <d v="2025-05-14T00:00:00"/>
    <x v="4"/>
    <x v="95"/>
    <n v="1"/>
    <n v="31990"/>
    <n v="0.16"/>
    <n v="26871.599999999999"/>
    <x v="0"/>
    <x v="1"/>
    <s v="Fulfilled by Amazon"/>
    <x v="0"/>
    <s v="Maharashtra"/>
  </r>
  <r>
    <x v="198"/>
    <d v="2025-05-16T00:00:00"/>
    <x v="5"/>
    <x v="78"/>
    <n v="2"/>
    <n v="1299"/>
    <n v="0.15"/>
    <n v="2208.3000000000002"/>
    <x v="0"/>
    <x v="0"/>
    <s v="Merchant"/>
    <x v="0"/>
    <s v="West Bengal"/>
  </r>
  <r>
    <x v="199"/>
    <d v="2025-05-19T00:00:00"/>
    <x v="0"/>
    <x v="85"/>
    <n v="1"/>
    <n v="1699"/>
    <n v="0.12"/>
    <n v="1495.12"/>
    <x v="0"/>
    <x v="4"/>
    <s v="Fulfilled by Amazon"/>
    <x v="0"/>
    <s v="Karnataka"/>
  </r>
  <r>
    <x v="200"/>
    <d v="2025-05-21T00:00:00"/>
    <x v="1"/>
    <x v="92"/>
    <n v="1"/>
    <n v="1499"/>
    <n v="0.25"/>
    <n v="1124.25"/>
    <x v="0"/>
    <x v="1"/>
    <s v="Fulfilled by Amazon"/>
    <x v="0"/>
    <s v="Kerala"/>
  </r>
  <r>
    <x v="201"/>
    <d v="2025-05-24T00:00:00"/>
    <x v="2"/>
    <x v="87"/>
    <n v="1"/>
    <n v="1695"/>
    <n v="0.15"/>
    <n v="1440.75"/>
    <x v="0"/>
    <x v="2"/>
    <s v="Fulfilled by Amazon"/>
    <x v="0"/>
    <s v="Delhi"/>
  </r>
  <r>
    <x v="202"/>
    <d v="2025-05-26T00:00:00"/>
    <x v="3"/>
    <x v="94"/>
    <n v="1"/>
    <n v="899"/>
    <n v="0.1"/>
    <n v="809.1"/>
    <x v="0"/>
    <x v="0"/>
    <s v="Fulfilled by Amazon"/>
    <x v="0"/>
    <s v="Tamil Nadu"/>
  </r>
  <r>
    <x v="203"/>
    <d v="2025-05-29T00:00:00"/>
    <x v="4"/>
    <x v="100"/>
    <n v="1"/>
    <n v="7490"/>
    <n v="0.2"/>
    <n v="5992"/>
    <x v="0"/>
    <x v="2"/>
    <s v="Merchant"/>
    <x v="0"/>
    <s v="Maharashtra"/>
  </r>
  <r>
    <x v="204"/>
    <d v="2025-05-31T00:00:00"/>
    <x v="5"/>
    <x v="84"/>
    <n v="1"/>
    <n v="999"/>
    <n v="0.1"/>
    <n v="899.1"/>
    <x v="0"/>
    <x v="0"/>
    <s v="Merchant"/>
    <x v="0"/>
    <s v="Punjab"/>
  </r>
  <r>
    <x v="205"/>
    <d v="2025-06-03T00:00:00"/>
    <x v="0"/>
    <x v="91"/>
    <n v="1"/>
    <n v="4499"/>
    <n v="0.15"/>
    <n v="3824.15"/>
    <x v="0"/>
    <x v="4"/>
    <s v="Fulfilled by Amazon"/>
    <x v="0"/>
    <s v="Telangana"/>
  </r>
  <r>
    <x v="206"/>
    <d v="2025-06-05T00:00:00"/>
    <x v="1"/>
    <x v="97"/>
    <n v="1"/>
    <n v="2290"/>
    <n v="0.2"/>
    <n v="1832"/>
    <x v="0"/>
    <x v="1"/>
    <s v="Fulfilled by Amazon"/>
    <x v="0"/>
    <s v="Karnataka"/>
  </r>
  <r>
    <x v="207"/>
    <d v="2025-06-08T00:00:00"/>
    <x v="2"/>
    <x v="93"/>
    <n v="2"/>
    <n v="799"/>
    <n v="0.12"/>
    <n v="1406.24"/>
    <x v="0"/>
    <x v="0"/>
    <s v="Fulfilled by Amazon"/>
    <x v="0"/>
    <s v="Delhi"/>
  </r>
  <r>
    <x v="208"/>
    <d v="2025-06-10T00:00:00"/>
    <x v="3"/>
    <x v="99"/>
    <n v="4"/>
    <n v="199"/>
    <n v="0.05"/>
    <n v="756.2"/>
    <x v="0"/>
    <x v="3"/>
    <s v="Fulfilled by Amazon"/>
    <x v="0"/>
    <s v="Uttar Pradesh"/>
  </r>
  <r>
    <x v="209"/>
    <d v="2025-06-13T00:00:00"/>
    <x v="4"/>
    <x v="104"/>
    <n v="1"/>
    <n v="3895"/>
    <n v="0.18"/>
    <n v="3193.9"/>
    <x v="0"/>
    <x v="1"/>
    <s v="Fulfilled by Amazon"/>
    <x v="0"/>
    <s v="Maharashtra"/>
  </r>
  <r>
    <x v="210"/>
    <d v="2025-06-15T00:00:00"/>
    <x v="5"/>
    <x v="90"/>
    <n v="3"/>
    <n v="950"/>
    <n v="0.08"/>
    <n v="2622"/>
    <x v="0"/>
    <x v="0"/>
    <s v="Merchant"/>
    <x v="0"/>
    <s v="Gujarat"/>
  </r>
  <r>
    <x v="211"/>
    <d v="2025-06-18T00:00:00"/>
    <x v="0"/>
    <x v="0"/>
    <n v="2"/>
    <n v="1499"/>
    <n v="0.1"/>
    <n v="2698.2"/>
    <x v="0"/>
    <x v="0"/>
    <s v="Fulfilled by Amazon"/>
    <x v="0"/>
    <s v="Tamil Nadu"/>
  </r>
  <r>
    <x v="212"/>
    <d v="2025-06-20T00:00:00"/>
    <x v="1"/>
    <x v="102"/>
    <n v="2"/>
    <n v="1099"/>
    <n v="0.22"/>
    <n v="1714.44"/>
    <x v="0"/>
    <x v="1"/>
    <s v="Fulfilled by Amazon"/>
    <x v="0"/>
    <s v="Karnataka"/>
  </r>
  <r>
    <x v="213"/>
    <d v="2025-06-23T00:00:00"/>
    <x v="2"/>
    <x v="98"/>
    <n v="1"/>
    <n v="899"/>
    <n v="0.15"/>
    <n v="764.15"/>
    <x v="0"/>
    <x v="4"/>
    <s v="Fulfilled by Amazon"/>
    <x v="0"/>
    <s v="West Bengal"/>
  </r>
  <r>
    <x v="214"/>
    <d v="2025-06-25T00:00:00"/>
    <x v="3"/>
    <x v="103"/>
    <n v="2"/>
    <n v="499"/>
    <n v="0.12"/>
    <n v="878.24"/>
    <x v="0"/>
    <x v="3"/>
    <s v="Fulfilled by Amazon"/>
    <x v="0"/>
    <s v="Madhya Pradesh"/>
  </r>
  <r>
    <x v="215"/>
    <d v="2025-06-28T00:00:00"/>
    <x v="4"/>
    <x v="4"/>
    <n v="1"/>
    <n v="7999"/>
    <n v="0.22"/>
    <n v="6239.22"/>
    <x v="0"/>
    <x v="2"/>
    <s v="Fulfilled by Amazon"/>
    <x v="0"/>
    <s v="Delhi"/>
  </r>
  <r>
    <x v="216"/>
    <d v="2025-06-30T00:00:00"/>
    <x v="5"/>
    <x v="96"/>
    <n v="3"/>
    <n v="249"/>
    <n v="0.05"/>
    <n v="709.65"/>
    <x v="0"/>
    <x v="0"/>
    <s v="Merchant"/>
    <x v="0"/>
    <s v="Haryana"/>
  </r>
  <r>
    <x v="217"/>
    <d v="2025-07-02T00:00:00"/>
    <x v="0"/>
    <x v="5"/>
    <n v="1"/>
    <n v="19999"/>
    <n v="0.08"/>
    <n v="18399.080000000002"/>
    <x v="0"/>
    <x v="1"/>
    <s v="Fulfilled by Amazon"/>
    <x v="0"/>
    <s v="Maharashtra"/>
  </r>
  <r>
    <x v="218"/>
    <d v="2025-07-05T00:00:00"/>
    <x v="1"/>
    <x v="1"/>
    <n v="1"/>
    <n v="2499"/>
    <n v="0.2"/>
    <n v="1999.2"/>
    <x v="0"/>
    <x v="0"/>
    <s v="Fulfilled by Amazon"/>
    <x v="0"/>
    <s v="Telangana"/>
  </r>
  <r>
    <x v="219"/>
    <d v="2025-07-07T00:00:00"/>
    <x v="2"/>
    <x v="2"/>
    <n v="1"/>
    <n v="3299"/>
    <n v="0.15"/>
    <n v="2804.15"/>
    <x v="0"/>
    <x v="2"/>
    <s v="Fulfilled by Amazon"/>
    <x v="0"/>
    <s v="Karnataka"/>
  </r>
  <r>
    <x v="220"/>
    <d v="2025-07-10T00:00:00"/>
    <x v="3"/>
    <x v="3"/>
    <n v="3"/>
    <n v="399"/>
    <n v="0.05"/>
    <n v="1137.1500000000001"/>
    <x v="0"/>
    <x v="3"/>
    <s v="Fulfilled by Amazon"/>
    <x v="0"/>
    <s v="Tamil Nadu"/>
  </r>
  <r>
    <x v="221"/>
    <d v="2025-07-12T00:00:00"/>
    <x v="4"/>
    <x v="11"/>
    <n v="1"/>
    <n v="2899"/>
    <n v="0.18"/>
    <n v="2377.1799999999998"/>
    <x v="0"/>
    <x v="0"/>
    <s v="Fulfilled by Amazon"/>
    <x v="0"/>
    <s v="Kerala"/>
  </r>
  <r>
    <x v="222"/>
    <d v="2025-07-15T00:00:00"/>
    <x v="5"/>
    <x v="101"/>
    <n v="2"/>
    <n v="349"/>
    <n v="0.1"/>
    <n v="628.20000000000005"/>
    <x v="0"/>
    <x v="3"/>
    <s v="Merchant"/>
    <x v="1"/>
    <s v="Rajasthan"/>
  </r>
  <r>
    <x v="223"/>
    <d v="2025-07-17T00:00:00"/>
    <x v="0"/>
    <x v="9"/>
    <n v="1"/>
    <n v="1799"/>
    <n v="0.18"/>
    <n v="1475.18"/>
    <x v="0"/>
    <x v="4"/>
    <s v="Fulfilled by Amazon"/>
    <x v="0"/>
    <s v="Delhi"/>
  </r>
  <r>
    <x v="224"/>
    <d v="2025-07-20T00:00:00"/>
    <x v="1"/>
    <x v="7"/>
    <n v="2"/>
    <n v="1299"/>
    <n v="0.28000000000000003"/>
    <n v="1870.56"/>
    <x v="0"/>
    <x v="1"/>
    <s v="Fulfilled by Amazon"/>
    <x v="0"/>
    <s v="Maharashtra"/>
  </r>
  <r>
    <x v="225"/>
    <d v="2025-07-22T00:00:00"/>
    <x v="2"/>
    <x v="8"/>
    <n v="1"/>
    <n v="1899"/>
    <n v="0.15"/>
    <n v="1614.15"/>
    <x v="0"/>
    <x v="0"/>
    <s v="Fulfilled by Amazon"/>
    <x v="0"/>
    <s v="Uttar Pradesh"/>
  </r>
  <r>
    <x v="226"/>
    <d v="2025-07-25T00:00:00"/>
    <x v="3"/>
    <x v="10"/>
    <n v="3"/>
    <n v="650"/>
    <n v="0.1"/>
    <n v="1755"/>
    <x v="0"/>
    <x v="2"/>
    <s v="Fulfilled by Amazon"/>
    <x v="0"/>
    <s v="Karnataka"/>
  </r>
  <r>
    <x v="227"/>
    <d v="2025-07-27T00:00:00"/>
    <x v="4"/>
    <x v="18"/>
    <n v="1"/>
    <n v="7792"/>
    <n v="0.2"/>
    <n v="6233.6"/>
    <x v="0"/>
    <x v="1"/>
    <s v="Fulfilled by Amazon"/>
    <x v="0"/>
    <s v="Telangana"/>
  </r>
  <r>
    <x v="228"/>
    <d v="2025-07-30T00:00:00"/>
    <x v="5"/>
    <x v="105"/>
    <n v="1"/>
    <n v="649"/>
    <n v="0.15"/>
    <n v="551.65"/>
    <x v="0"/>
    <x v="3"/>
    <s v="Merchant"/>
    <x v="0"/>
    <s v="West Bengal"/>
  </r>
  <r>
    <x v="229"/>
    <d v="2025-08-01T00:00:00"/>
    <x v="0"/>
    <x v="13"/>
    <n v="2"/>
    <n v="2495"/>
    <n v="0.12"/>
    <n v="4391.2"/>
    <x v="0"/>
    <x v="5"/>
    <s v="Fulfilled by Amazon"/>
    <x v="0"/>
    <s v="Maharashtra"/>
  </r>
  <r>
    <x v="230"/>
    <d v="2025-08-04T00:00:00"/>
    <x v="1"/>
    <x v="12"/>
    <n v="1"/>
    <n v="3499"/>
    <n v="0.22"/>
    <n v="2729.22"/>
    <x v="0"/>
    <x v="1"/>
    <s v="Merchant"/>
    <x v="2"/>
    <s v="Delhi"/>
  </r>
  <r>
    <x v="231"/>
    <d v="2025-08-06T00:00:00"/>
    <x v="2"/>
    <x v="21"/>
    <n v="1"/>
    <n v="1750"/>
    <n v="0.1"/>
    <n v="1575"/>
    <x v="0"/>
    <x v="5"/>
    <s v="Fulfilled by Amazon"/>
    <x v="0"/>
    <s v="Maharashtra"/>
  </r>
  <r>
    <x v="232"/>
    <d v="2025-08-09T00:00:00"/>
    <x v="3"/>
    <x v="16"/>
    <n v="2"/>
    <n v="599"/>
    <n v="0.12"/>
    <n v="1054.24"/>
    <x v="0"/>
    <x v="0"/>
    <s v="Fulfilled by Amazon"/>
    <x v="0"/>
    <s v="Karnataka"/>
  </r>
  <r>
    <x v="233"/>
    <d v="2025-08-11T00:00:00"/>
    <x v="4"/>
    <x v="25"/>
    <n v="2"/>
    <n v="2199"/>
    <n v="0.12"/>
    <n v="3870.24"/>
    <x v="0"/>
    <x v="2"/>
    <s v="Fulfilled by Amazon"/>
    <x v="0"/>
    <s v="Tamil Nadu"/>
  </r>
  <r>
    <x v="234"/>
    <d v="2025-08-14T00:00:00"/>
    <x v="5"/>
    <x v="14"/>
    <n v="1"/>
    <n v="1249"/>
    <n v="0.15"/>
    <n v="1061.6500000000001"/>
    <x v="0"/>
    <x v="0"/>
    <s v="Merchant"/>
    <x v="0"/>
    <s v="Gujarat"/>
  </r>
  <r>
    <x v="235"/>
    <d v="2025-08-16T00:00:00"/>
    <x v="0"/>
    <x v="17"/>
    <n v="2"/>
    <n v="1399"/>
    <n v="0.2"/>
    <n v="2238.4"/>
    <x v="0"/>
    <x v="1"/>
    <s v="Merchant"/>
    <x v="0"/>
    <s v="Telangana"/>
  </r>
  <r>
    <x v="236"/>
    <d v="2025-08-19T00:00:00"/>
    <x v="1"/>
    <x v="20"/>
    <n v="3"/>
    <n v="1199"/>
    <n v="0.25"/>
    <n v="2697.75"/>
    <x v="0"/>
    <x v="0"/>
    <s v="Fulfilled by Amazon"/>
    <x v="0"/>
    <s v="Delhi"/>
  </r>
  <r>
    <x v="237"/>
    <d v="2025-08-21T00:00:00"/>
    <x v="2"/>
    <x v="15"/>
    <n v="3"/>
    <n v="980"/>
    <n v="0.08"/>
    <n v="2704.8"/>
    <x v="0"/>
    <x v="4"/>
    <s v="Fulfilled by Amazon"/>
    <x v="0"/>
    <s v="West Bengal"/>
  </r>
  <r>
    <x v="238"/>
    <d v="2025-08-24T00:00:00"/>
    <x v="3"/>
    <x v="22"/>
    <n v="2"/>
    <n v="499"/>
    <n v="0.15"/>
    <n v="848.3"/>
    <x v="0"/>
    <x v="3"/>
    <s v="Fulfilled by Amazon"/>
    <x v="0"/>
    <s v="Uttar Pradesh"/>
  </r>
  <r>
    <x v="239"/>
    <d v="2025-08-26T00:00:00"/>
    <x v="4"/>
    <x v="33"/>
    <n v="1"/>
    <n v="14999"/>
    <n v="0.15"/>
    <n v="12749.15"/>
    <x v="0"/>
    <x v="1"/>
    <s v="Fulfilled by Amazon"/>
    <x v="0"/>
    <s v="Maharashtra"/>
  </r>
  <r>
    <x v="240"/>
    <d v="2025-08-29T00:00:00"/>
    <x v="5"/>
    <x v="23"/>
    <n v="2"/>
    <n v="480"/>
    <n v="0.05"/>
    <n v="912"/>
    <x v="0"/>
    <x v="0"/>
    <s v="Fulfilled by Amazon"/>
    <x v="0"/>
    <s v="Kerala"/>
  </r>
  <r>
    <x v="241"/>
    <d v="2025-08-31T00:00:00"/>
    <x v="0"/>
    <x v="19"/>
    <n v="1"/>
    <n v="16999"/>
    <n v="0.15"/>
    <n v="14449.15"/>
    <x v="0"/>
    <x v="4"/>
    <s v="Fulfilled by Amazon"/>
    <x v="0"/>
    <s v="Karnataka"/>
  </r>
  <r>
    <x v="242"/>
    <d v="2025-09-03T00:00:00"/>
    <x v="1"/>
    <x v="26"/>
    <n v="1"/>
    <n v="1899"/>
    <n v="0.3"/>
    <n v="1329.3"/>
    <x v="0"/>
    <x v="0"/>
    <s v="Merchant"/>
    <x v="0"/>
    <s v="Andhra Pradesh"/>
  </r>
  <r>
    <x v="243"/>
    <d v="2025-09-05T00:00:00"/>
    <x v="2"/>
    <x v="28"/>
    <n v="1"/>
    <n v="995"/>
    <n v="0.1"/>
    <n v="895.5"/>
    <x v="0"/>
    <x v="2"/>
    <s v="Fulfilled by Amazon"/>
    <x v="0"/>
    <s v="Delhi"/>
  </r>
  <r>
    <x v="244"/>
    <d v="2025-09-08T00:00:00"/>
    <x v="3"/>
    <x v="29"/>
    <n v="3"/>
    <n v="549"/>
    <n v="0.05"/>
    <n v="1564.65"/>
    <x v="0"/>
    <x v="0"/>
    <s v="Fulfilled by Amazon"/>
    <x v="0"/>
    <s v="Rajasthan"/>
  </r>
  <r>
    <x v="245"/>
    <d v="2025-09-10T00:00:00"/>
    <x v="4"/>
    <x v="38"/>
    <n v="1"/>
    <n v="6299"/>
    <n v="0.18"/>
    <n v="5165.18"/>
    <x v="0"/>
    <x v="2"/>
    <s v="Fulfilled by Amazon"/>
    <x v="0"/>
    <s v="Maharashtra"/>
  </r>
  <r>
    <x v="246"/>
    <d v="2025-09-13T00:00:00"/>
    <x v="5"/>
    <x v="30"/>
    <n v="2"/>
    <n v="699"/>
    <n v="0.15"/>
    <n v="1188.3"/>
    <x v="0"/>
    <x v="3"/>
    <s v="Merchant"/>
    <x v="1"/>
    <s v="Madhya Pradesh"/>
  </r>
  <r>
    <x v="247"/>
    <d v="2025-09-15T00:00:00"/>
    <x v="0"/>
    <x v="24"/>
    <n v="1"/>
    <n v="2999"/>
    <n v="0.18"/>
    <n v="2459.1799999999998"/>
    <x v="0"/>
    <x v="1"/>
    <s v="Fulfilled by Amazon"/>
    <x v="0"/>
    <s v="Tamil Nadu"/>
  </r>
  <r>
    <x v="248"/>
    <d v="2025-09-18T00:00:00"/>
    <x v="1"/>
    <x v="32"/>
    <n v="1"/>
    <n v="1699"/>
    <n v="0.32"/>
    <n v="1155.32"/>
    <x v="0"/>
    <x v="0"/>
    <s v="Fulfilled by Amazon"/>
    <x v="0"/>
    <s v="Telangana"/>
  </r>
  <r>
    <x v="249"/>
    <d v="2025-09-20T00:00:00"/>
    <x v="2"/>
    <x v="34"/>
    <n v="2"/>
    <n v="449"/>
    <n v="0.1"/>
    <n v="808.2"/>
    <x v="0"/>
    <x v="4"/>
    <s v="Fulfilled by Amazon"/>
    <x v="0"/>
    <s v="Karnataka"/>
  </r>
  <r>
    <x v="250"/>
    <d v="2025-09-23T00:00:00"/>
    <x v="3"/>
    <x v="36"/>
    <n v="1"/>
    <n v="1475"/>
    <n v="0.05"/>
    <n v="1401.25"/>
    <x v="0"/>
    <x v="1"/>
    <s v="Fulfilled by Amazon"/>
    <x v="0"/>
    <s v="West Bengal"/>
  </r>
  <r>
    <x v="251"/>
    <d v="2025-09-25T00:00:00"/>
    <x v="4"/>
    <x v="46"/>
    <n v="1"/>
    <n v="27490"/>
    <n v="0.15"/>
    <n v="23366.5"/>
    <x v="0"/>
    <x v="2"/>
    <s v="Fulfilled by Amazon"/>
    <x v="0"/>
    <s v="Delhi"/>
  </r>
  <r>
    <x v="252"/>
    <d v="2025-09-28T00:00:00"/>
    <x v="5"/>
    <x v="37"/>
    <n v="2"/>
    <n v="599"/>
    <n v="0.1"/>
    <n v="1078.2"/>
    <x v="0"/>
    <x v="3"/>
    <s v="Fulfilled by Amazon"/>
    <x v="0"/>
    <s v="Maharashtra"/>
  </r>
  <r>
    <x v="253"/>
    <d v="2025-09-30T00:00:00"/>
    <x v="0"/>
    <x v="27"/>
    <n v="1"/>
    <n v="10999"/>
    <n v="0.08"/>
    <n v="10119.08"/>
    <x v="0"/>
    <x v="1"/>
    <s v="Fulfilled by Amazon"/>
    <x v="0"/>
    <s v="Karnataka"/>
  </r>
  <r>
    <x v="254"/>
    <d v="2025-10-03T00:00:00"/>
    <x v="1"/>
    <x v="39"/>
    <n v="2"/>
    <n v="1499"/>
    <n v="0.25"/>
    <n v="2248.5"/>
    <x v="0"/>
    <x v="0"/>
    <s v="Merchant"/>
    <x v="0"/>
    <s v="Gujarat"/>
  </r>
  <r>
    <x v="255"/>
    <d v="2025-10-05T00:00:00"/>
    <x v="2"/>
    <x v="47"/>
    <n v="1"/>
    <n v="2699"/>
    <n v="0.18"/>
    <n v="2213.1799999999998"/>
    <x v="0"/>
    <x v="0"/>
    <s v="Merchant"/>
    <x v="1"/>
    <s v="Uttar Pradesh"/>
  </r>
  <r>
    <x v="256"/>
    <d v="2025-10-08T00:00:00"/>
    <x v="3"/>
    <x v="42"/>
    <n v="2"/>
    <n v="345"/>
    <n v="0.15"/>
    <n v="586.5"/>
    <x v="0"/>
    <x v="4"/>
    <s v="Fulfilled by Amazon"/>
    <x v="0"/>
    <s v="Tamil Nadu"/>
  </r>
  <r>
    <x v="257"/>
    <d v="2025-10-10T00:00:00"/>
    <x v="4"/>
    <x v="53"/>
    <n v="1"/>
    <n v="23990"/>
    <n v="0.15"/>
    <n v="20391.5"/>
    <x v="0"/>
    <x v="1"/>
    <s v="Fulfilled by Amazon"/>
    <x v="0"/>
    <s v="Maharashtra"/>
  </r>
  <r>
    <x v="258"/>
    <d v="2025-10-13T00:00:00"/>
    <x v="5"/>
    <x v="43"/>
    <n v="1"/>
    <n v="28990"/>
    <n v="0.22"/>
    <n v="22612.2"/>
    <x v="0"/>
    <x v="1"/>
    <s v="Merchant"/>
    <x v="0"/>
    <s v="Telangana"/>
  </r>
  <r>
    <x v="259"/>
    <d v="2025-10-15T00:00:00"/>
    <x v="0"/>
    <x v="31"/>
    <n v="3"/>
    <n v="849"/>
    <n v="0.2"/>
    <n v="2037.6"/>
    <x v="0"/>
    <x v="5"/>
    <s v="Fulfilled by Amazon"/>
    <x v="0"/>
    <s v="Delhi"/>
  </r>
  <r>
    <x v="260"/>
    <d v="2025-10-18T00:00:00"/>
    <x v="1"/>
    <x v="45"/>
    <n v="2"/>
    <n v="1599"/>
    <n v="0.3"/>
    <n v="2238.6"/>
    <x v="0"/>
    <x v="0"/>
    <s v="Fulfilled by Amazon"/>
    <x v="0"/>
    <s v="Karnataka"/>
  </r>
  <r>
    <x v="261"/>
    <d v="2025-10-20T00:00:00"/>
    <x v="2"/>
    <x v="41"/>
    <n v="3"/>
    <n v="349"/>
    <n v="0.1"/>
    <n v="942.3"/>
    <x v="0"/>
    <x v="0"/>
    <s v="Fulfilled by Amazon"/>
    <x v="0"/>
    <s v="Punjab"/>
  </r>
  <r>
    <x v="262"/>
    <d v="2025-10-23T00:00:00"/>
    <x v="3"/>
    <x v="48"/>
    <n v="2"/>
    <n v="420"/>
    <n v="0.1"/>
    <n v="756"/>
    <x v="0"/>
    <x v="3"/>
    <s v="Fulfilled by Amazon"/>
    <x v="0"/>
    <s v="West Bengal"/>
  </r>
  <r>
    <x v="263"/>
    <d v="2025-10-25T00:00:00"/>
    <x v="4"/>
    <x v="59"/>
    <n v="1"/>
    <n v="24490"/>
    <n v="0.12"/>
    <n v="21551.200000000001"/>
    <x v="0"/>
    <x v="1"/>
    <s v="Fulfilled by Amazon"/>
    <x v="0"/>
    <s v="Maharashtra"/>
  </r>
  <r>
    <x v="264"/>
    <d v="2025-10-28T00:00:00"/>
    <x v="5"/>
    <x v="6"/>
    <n v="2"/>
    <n v="499"/>
    <n v="0.1"/>
    <n v="898.2"/>
    <x v="0"/>
    <x v="0"/>
    <s v="Merchant"/>
    <x v="0"/>
    <s v="Haryana"/>
  </r>
  <r>
    <x v="265"/>
    <d v="2025-10-30T00:00:00"/>
    <x v="0"/>
    <x v="35"/>
    <n v="1"/>
    <n v="2299"/>
    <n v="0.12"/>
    <n v="2023.12"/>
    <x v="0"/>
    <x v="0"/>
    <s v="Merchant"/>
    <x v="1"/>
    <s v="Delhi"/>
  </r>
  <r>
    <x v="266"/>
    <d v="2025-11-02T00:00:00"/>
    <x v="1"/>
    <x v="50"/>
    <n v="2"/>
    <n v="1299"/>
    <n v="0.2"/>
    <n v="2078.4"/>
    <x v="0"/>
    <x v="0"/>
    <s v="Fulfilled by Amazon"/>
    <x v="0"/>
    <s v="Karnataka"/>
  </r>
  <r>
    <x v="267"/>
    <d v="2025-11-04T00:00:00"/>
    <x v="2"/>
    <x v="51"/>
    <n v="1"/>
    <n v="2150"/>
    <n v="0.12"/>
    <n v="1892"/>
    <x v="0"/>
    <x v="2"/>
    <s v="Fulfilled by Amazon"/>
    <x v="0"/>
    <s v="Tamil Nadu"/>
  </r>
  <r>
    <x v="268"/>
    <d v="2025-11-07T00:00:00"/>
    <x v="3"/>
    <x v="52"/>
    <n v="3"/>
    <n v="445"/>
    <n v="0.08"/>
    <n v="1228.2"/>
    <x v="0"/>
    <x v="3"/>
    <s v="Fulfilled by Amazon"/>
    <x v="0"/>
    <s v="Maharashtra"/>
  </r>
  <r>
    <x v="269"/>
    <d v="2025-11-09T00:00:00"/>
    <x v="4"/>
    <x v="65"/>
    <n v="1"/>
    <n v="14990"/>
    <n v="0.14000000000000001"/>
    <n v="12891.4"/>
    <x v="0"/>
    <x v="1"/>
    <s v="Fulfilled by Amazon"/>
    <x v="0"/>
    <s v="Telangana"/>
  </r>
  <r>
    <x v="270"/>
    <d v="2025-11-12T00:00:00"/>
    <x v="5"/>
    <x v="54"/>
    <n v="4"/>
    <n v="399"/>
    <n v="0.05"/>
    <n v="1516.2"/>
    <x v="0"/>
    <x v="3"/>
    <s v="Merchant"/>
    <x v="0"/>
    <s v="Delhi"/>
  </r>
  <r>
    <x v="271"/>
    <d v="2025-11-14T00:00:00"/>
    <x v="0"/>
    <x v="40"/>
    <n v="1"/>
    <n v="24999"/>
    <n v="0.2"/>
    <n v="19999.2"/>
    <x v="0"/>
    <x v="1"/>
    <s v="Fulfilled by Amazon"/>
    <x v="0"/>
    <s v="Maharashtra"/>
  </r>
  <r>
    <x v="272"/>
    <d v="2025-11-17T00:00:00"/>
    <x v="1"/>
    <x v="56"/>
    <n v="1"/>
    <n v="899"/>
    <n v="0.25"/>
    <n v="674.25"/>
    <x v="0"/>
    <x v="0"/>
    <s v="Fulfilled by Amazon"/>
    <x v="0"/>
    <s v="Karnataka"/>
  </r>
  <r>
    <x v="273"/>
    <d v="2025-11-19T00:00:00"/>
    <x v="2"/>
    <x v="57"/>
    <n v="1"/>
    <n v="2199"/>
    <n v="0.18"/>
    <n v="1803.18"/>
    <x v="0"/>
    <x v="2"/>
    <s v="Merchant"/>
    <x v="0"/>
    <s v="West Bengal"/>
  </r>
  <r>
    <x v="274"/>
    <d v="2025-11-22T00:00:00"/>
    <x v="3"/>
    <x v="58"/>
    <n v="3"/>
    <n v="260"/>
    <n v="0.1"/>
    <n v="702"/>
    <x v="0"/>
    <x v="3"/>
    <s v="Fulfilled by Amazon"/>
    <x v="0"/>
    <s v="Uttar Pradesh"/>
  </r>
  <r>
    <x v="275"/>
    <d v="2025-11-24T00:00:00"/>
    <x v="4"/>
    <x v="71"/>
    <n v="1"/>
    <n v="3299"/>
    <n v="0.15"/>
    <n v="2804.15"/>
    <x v="0"/>
    <x v="1"/>
    <s v="Fulfilled by Amazon"/>
    <x v="0"/>
    <s v="Delhi"/>
  </r>
  <r>
    <x v="276"/>
    <d v="2025-11-27T00:00:00"/>
    <x v="5"/>
    <x v="60"/>
    <n v="2"/>
    <n v="299"/>
    <n v="0.1"/>
    <n v="538.20000000000005"/>
    <x v="0"/>
    <x v="0"/>
    <s v="Merchant"/>
    <x v="0"/>
    <s v="Gujarat"/>
  </r>
  <r>
    <x v="277"/>
    <d v="2025-11-29T00:00:00"/>
    <x v="0"/>
    <x v="44"/>
    <n v="1"/>
    <n v="29990"/>
    <n v="0.1"/>
    <n v="26991"/>
    <x v="0"/>
    <x v="1"/>
    <s v="Fulfilled by Amazon"/>
    <x v="0"/>
    <s v="Tamil Nadu"/>
  </r>
  <r>
    <x v="278"/>
    <d v="2025-12-02T00:00:00"/>
    <x v="1"/>
    <x v="62"/>
    <n v="2"/>
    <n v="999"/>
    <n v="0.2"/>
    <n v="1598.4"/>
    <x v="0"/>
    <x v="0"/>
    <s v="Fulfilled by Amazon"/>
    <x v="0"/>
    <s v="Maharashtra"/>
  </r>
  <r>
    <x v="279"/>
    <d v="2025-12-04T00:00:00"/>
    <x v="2"/>
    <x v="63"/>
    <n v="3"/>
    <n v="299"/>
    <n v="0.15"/>
    <n v="762.45"/>
    <x v="0"/>
    <x v="3"/>
    <s v="Fulfilled by Amazon"/>
    <x v="0"/>
    <s v="Telangana"/>
  </r>
  <r>
    <x v="280"/>
    <d v="2025-12-07T00:00:00"/>
    <x v="3"/>
    <x v="64"/>
    <n v="1"/>
    <n v="480"/>
    <n v="0.05"/>
    <n v="456"/>
    <x v="0"/>
    <x v="2"/>
    <s v="Fulfilled by Amazon"/>
    <x v="0"/>
    <s v="Karnataka"/>
  </r>
  <r>
    <x v="281"/>
    <d v="2025-12-09T00:00:00"/>
    <x v="4"/>
    <x v="77"/>
    <n v="1"/>
    <n v="5699"/>
    <n v="0.18"/>
    <n v="4673.18"/>
    <x v="0"/>
    <x v="2"/>
    <s v="Fulfilled by Amazon"/>
    <x v="0"/>
    <s v="Kerala"/>
  </r>
  <r>
    <x v="282"/>
    <d v="2025-12-12T00:00:00"/>
    <x v="5"/>
    <x v="66"/>
    <n v="1"/>
    <n v="8999"/>
    <n v="0.2"/>
    <n v="7199.2"/>
    <x v="0"/>
    <x v="5"/>
    <s v="Merchant"/>
    <x v="0"/>
    <s v="Maharashtra"/>
  </r>
  <r>
    <x v="283"/>
    <d v="2025-12-14T00:00:00"/>
    <x v="0"/>
    <x v="49"/>
    <n v="1"/>
    <n v="3199"/>
    <n v="0.14000000000000001"/>
    <n v="2751.14"/>
    <x v="0"/>
    <x v="4"/>
    <s v="Fulfilled by Amazon"/>
    <x v="0"/>
    <s v="Delhi"/>
  </r>
  <r>
    <x v="284"/>
    <d v="2025-12-17T00:00:00"/>
    <x v="1"/>
    <x v="68"/>
    <n v="1"/>
    <n v="1595"/>
    <n v="0.15"/>
    <n v="1355.75"/>
    <x v="0"/>
    <x v="1"/>
    <s v="Merchant"/>
    <x v="2"/>
    <s v="Tamil Nadu"/>
  </r>
  <r>
    <x v="285"/>
    <d v="2025-12-19T00:00:00"/>
    <x v="2"/>
    <x v="69"/>
    <n v="1"/>
    <n v="3199"/>
    <n v="0.12"/>
    <n v="2815.12"/>
    <x v="0"/>
    <x v="0"/>
    <s v="Fulfilled by Amazon"/>
    <x v="0"/>
    <s v="Karnataka"/>
  </r>
  <r>
    <x v="286"/>
    <d v="2025-12-22T00:00:00"/>
    <x v="3"/>
    <x v="70"/>
    <n v="2"/>
    <n v="599"/>
    <n v="0.1"/>
    <n v="1078.2"/>
    <x v="0"/>
    <x v="3"/>
    <s v="Fulfilled by Amazon"/>
    <x v="0"/>
    <s v="Rajasthan"/>
  </r>
  <r>
    <x v="287"/>
    <d v="2025-12-24T00:00:00"/>
    <x v="4"/>
    <x v="83"/>
    <n v="2"/>
    <n v="1499"/>
    <n v="0.12"/>
    <n v="2638.24"/>
    <x v="0"/>
    <x v="1"/>
    <s v="Fulfilled by Amazon"/>
    <x v="0"/>
    <s v="Maharashtra"/>
  </r>
  <r>
    <x v="288"/>
    <d v="2025-12-27T00:00:00"/>
    <x v="5"/>
    <x v="72"/>
    <n v="1"/>
    <n v="6499"/>
    <n v="0.22"/>
    <n v="5069.22"/>
    <x v="0"/>
    <x v="0"/>
    <s v="Merchant"/>
    <x v="0"/>
    <s v="Andhra Pradesh"/>
  </r>
  <r>
    <x v="289"/>
    <d v="2025-12-29T00:00:00"/>
    <x v="0"/>
    <x v="55"/>
    <n v="2"/>
    <n v="1299"/>
    <n v="0.15"/>
    <n v="2208.3000000000002"/>
    <x v="0"/>
    <x v="4"/>
    <s v="Fulfilled by Amazon"/>
    <x v="0"/>
    <s v="Telangana"/>
  </r>
  <r>
    <x v="290"/>
    <d v="2026-01-02T00:00:00"/>
    <x v="1"/>
    <x v="74"/>
    <n v="1"/>
    <n v="1399"/>
    <n v="0.25"/>
    <n v="1049.25"/>
    <x v="0"/>
    <x v="0"/>
    <s v="Fulfilled by Amazon"/>
    <x v="0"/>
    <s v="Delhi"/>
  </r>
  <r>
    <x v="291"/>
    <d v="2026-01-04T00:00:00"/>
    <x v="2"/>
    <x v="75"/>
    <n v="1"/>
    <n v="1699"/>
    <n v="0.15"/>
    <n v="1444.15"/>
    <x v="0"/>
    <x v="1"/>
    <s v="Fulfilled by Amazon"/>
    <x v="0"/>
    <s v="Maharashtra"/>
  </r>
  <r>
    <x v="292"/>
    <d v="2026-01-07T00:00:00"/>
    <x v="3"/>
    <x v="76"/>
    <n v="2"/>
    <n v="349"/>
    <n v="0.12"/>
    <n v="614.24"/>
    <x v="0"/>
    <x v="0"/>
    <s v="Fulfilled by Amazon"/>
    <x v="0"/>
    <s v="Karnataka"/>
  </r>
  <r>
    <x v="293"/>
    <d v="2026-01-09T00:00:00"/>
    <x v="4"/>
    <x v="89"/>
    <n v="1"/>
    <n v="13999"/>
    <n v="0.14000000000000001"/>
    <n v="12039.14"/>
    <x v="0"/>
    <x v="1"/>
    <s v="Fulfilled by Amazon"/>
    <x v="0"/>
    <s v="Tamil Nadu"/>
  </r>
  <r>
    <x v="294"/>
    <d v="2026-01-12T00:00:00"/>
    <x v="5"/>
    <x v="78"/>
    <n v="2"/>
    <n v="1299"/>
    <n v="0.15"/>
    <n v="2208.3000000000002"/>
    <x v="0"/>
    <x v="3"/>
    <s v="Merchant"/>
    <x v="0"/>
    <s v="West Bengal"/>
  </r>
  <r>
    <x v="295"/>
    <d v="2026-01-14T00:00:00"/>
    <x v="0"/>
    <x v="61"/>
    <n v="1"/>
    <n v="15499"/>
    <n v="0.1"/>
    <n v="13949.1"/>
    <x v="0"/>
    <x v="4"/>
    <s v="Fulfilled by Amazon"/>
    <x v="0"/>
    <s v="Delhi"/>
  </r>
  <r>
    <x v="296"/>
    <d v="2026-01-17T00:00:00"/>
    <x v="1"/>
    <x v="80"/>
    <n v="1"/>
    <n v="1049"/>
    <n v="0.3"/>
    <n v="734.3"/>
    <x v="0"/>
    <x v="0"/>
    <s v="Fulfilled by Amazon"/>
    <x v="0"/>
    <s v="Maharashtra"/>
  </r>
  <r>
    <x v="297"/>
    <d v="2026-01-19T00:00:00"/>
    <x v="2"/>
    <x v="81"/>
    <n v="2"/>
    <n v="849"/>
    <n v="0.1"/>
    <n v="1528.2"/>
    <x v="0"/>
    <x v="5"/>
    <s v="Fulfilled by Amazon"/>
    <x v="0"/>
    <s v="Karnataka"/>
  </r>
  <r>
    <x v="298"/>
    <d v="2026-01-22T00:00:00"/>
    <x v="3"/>
    <x v="82"/>
    <n v="2"/>
    <n v="549"/>
    <n v="0.15"/>
    <n v="933.3"/>
    <x v="0"/>
    <x v="3"/>
    <s v="Fulfilled by Amazon"/>
    <x v="0"/>
    <s v="Uttar Pradesh"/>
  </r>
  <r>
    <x v="299"/>
    <d v="2026-01-24T00:00:00"/>
    <x v="4"/>
    <x v="95"/>
    <n v="1"/>
    <n v="31990"/>
    <n v="0.16"/>
    <n v="26871.599999999999"/>
    <x v="0"/>
    <x v="1"/>
    <s v="Fulfilled by Amazon"/>
    <x v="0"/>
    <s v="Gujarat"/>
  </r>
  <r>
    <x v="300"/>
    <d v="2026-01-27T00:00:00"/>
    <x v="5"/>
    <x v="84"/>
    <n v="1"/>
    <n v="999"/>
    <n v="0.1"/>
    <n v="899.1"/>
    <x v="0"/>
    <x v="0"/>
    <s v="Merchant"/>
    <x v="0"/>
    <s v="Punjab"/>
  </r>
  <r>
    <x v="301"/>
    <d v="2026-01-29T00:00:00"/>
    <x v="0"/>
    <x v="67"/>
    <n v="2"/>
    <n v="1199"/>
    <n v="0.18"/>
    <n v="1966.36"/>
    <x v="0"/>
    <x v="0"/>
    <s v="Fulfilled by Amazon"/>
    <x v="1"/>
    <s v="Maharashtra"/>
  </r>
  <r>
    <x v="302"/>
    <d v="2026-02-01T00:00:00"/>
    <x v="1"/>
    <x v="86"/>
    <n v="2"/>
    <n v="1149"/>
    <n v="0.2"/>
    <n v="1838.4"/>
    <x v="0"/>
    <x v="1"/>
    <s v="Merchant"/>
    <x v="0"/>
    <s v="Delhi"/>
  </r>
  <r>
    <x v="303"/>
    <d v="2026-02-03T00:00:00"/>
    <x v="2"/>
    <x v="87"/>
    <n v="1"/>
    <n v="1695"/>
    <n v="0.15"/>
    <n v="1440.75"/>
    <x v="0"/>
    <x v="2"/>
    <s v="Fulfilled by Amazon"/>
    <x v="0"/>
    <s v="Karnataka"/>
  </r>
  <r>
    <x v="304"/>
    <d v="2026-02-06T00:00:00"/>
    <x v="3"/>
    <x v="88"/>
    <n v="3"/>
    <n v="299"/>
    <n v="0.05"/>
    <n v="852.15"/>
    <x v="0"/>
    <x v="3"/>
    <s v="Fulfilled by Amazon"/>
    <x v="0"/>
    <s v="Tamil Nadu"/>
  </r>
  <r>
    <x v="305"/>
    <d v="2026-02-08T00:00:00"/>
    <x v="4"/>
    <x v="100"/>
    <n v="1"/>
    <n v="7490"/>
    <n v="0.2"/>
    <n v="5992"/>
    <x v="0"/>
    <x v="2"/>
    <s v="Merchant"/>
    <x v="0"/>
    <s v="Telangana"/>
  </r>
  <r>
    <x v="306"/>
    <d v="2026-02-11T00:00:00"/>
    <x v="5"/>
    <x v="90"/>
    <n v="3"/>
    <n v="950"/>
    <n v="0.08"/>
    <n v="2622"/>
    <x v="0"/>
    <x v="0"/>
    <s v="Merchant"/>
    <x v="0"/>
    <s v="Kerala"/>
  </r>
  <r>
    <x v="307"/>
    <d v="2026-02-13T00:00:00"/>
    <x v="0"/>
    <x v="73"/>
    <n v="1"/>
    <n v="37990"/>
    <n v="0.08"/>
    <n v="34950.800000000003"/>
    <x v="0"/>
    <x v="1"/>
    <s v="Fulfilled by Amazon"/>
    <x v="0"/>
    <s v="Maharashtra"/>
  </r>
  <r>
    <x v="308"/>
    <d v="2026-02-16T00:00:00"/>
    <x v="1"/>
    <x v="92"/>
    <n v="1"/>
    <n v="1499"/>
    <n v="0.25"/>
    <n v="1124.25"/>
    <x v="0"/>
    <x v="4"/>
    <s v="Fulfilled by Amazon"/>
    <x v="0"/>
    <s v="Delhi"/>
  </r>
  <r>
    <x v="309"/>
    <d v="2026-02-18T00:00:00"/>
    <x v="2"/>
    <x v="93"/>
    <n v="2"/>
    <n v="799"/>
    <n v="0.12"/>
    <n v="1406.24"/>
    <x v="0"/>
    <x v="0"/>
    <s v="Fulfilled by Amazon"/>
    <x v="0"/>
    <s v="Karnataka"/>
  </r>
  <r>
    <x v="310"/>
    <d v="2026-02-21T00:00:00"/>
    <x v="3"/>
    <x v="94"/>
    <n v="1"/>
    <n v="899"/>
    <n v="0.1"/>
    <n v="809.1"/>
    <x v="0"/>
    <x v="2"/>
    <s v="Fulfilled by Amazon"/>
    <x v="0"/>
    <s v="Delhi"/>
  </r>
  <r>
    <x v="311"/>
    <d v="2026-02-23T00:00:00"/>
    <x v="4"/>
    <x v="104"/>
    <n v="1"/>
    <n v="3895"/>
    <n v="0.18"/>
    <n v="3193.9"/>
    <x v="0"/>
    <x v="1"/>
    <s v="Fulfilled by Amazon"/>
    <x v="0"/>
    <s v="Maharashtra"/>
  </r>
  <r>
    <x v="312"/>
    <d v="2026-02-26T00:00:00"/>
    <x v="5"/>
    <x v="96"/>
    <n v="3"/>
    <n v="249"/>
    <n v="0.05"/>
    <n v="709.65"/>
    <x v="0"/>
    <x v="0"/>
    <s v="Merchant"/>
    <x v="0"/>
    <s v="Tamil Nadu"/>
  </r>
  <r>
    <x v="313"/>
    <d v="2026-02-28T00:00:00"/>
    <x v="0"/>
    <x v="79"/>
    <n v="3"/>
    <n v="399"/>
    <n v="0.1"/>
    <n v="1077.3"/>
    <x v="0"/>
    <x v="4"/>
    <s v="Fulfilled by Amazon"/>
    <x v="0"/>
    <s v="Karnataka"/>
  </r>
  <r>
    <x v="314"/>
    <d v="2026-03-03T00:00:00"/>
    <x v="1"/>
    <x v="97"/>
    <n v="1"/>
    <n v="2290"/>
    <n v="0.2"/>
    <n v="1832"/>
    <x v="0"/>
    <x v="1"/>
    <s v="Fulfilled by Amazon"/>
    <x v="0"/>
    <s v="West Bengal"/>
  </r>
  <r>
    <x v="315"/>
    <d v="2026-03-05T00:00:00"/>
    <x v="2"/>
    <x v="98"/>
    <n v="1"/>
    <n v="899"/>
    <n v="0.15"/>
    <n v="764.15"/>
    <x v="0"/>
    <x v="0"/>
    <s v="Fulfilled by Amazon"/>
    <x v="0"/>
    <s v="Gujarat"/>
  </r>
  <r>
    <x v="316"/>
    <d v="2026-03-08T00:00:00"/>
    <x v="3"/>
    <x v="99"/>
    <n v="4"/>
    <n v="199"/>
    <n v="0.05"/>
    <n v="756.2"/>
    <x v="0"/>
    <x v="3"/>
    <s v="Fulfilled by Amazon"/>
    <x v="0"/>
    <s v="Delhi"/>
  </r>
  <r>
    <x v="317"/>
    <d v="2026-03-10T00:00:00"/>
    <x v="4"/>
    <x v="4"/>
    <n v="1"/>
    <n v="7999"/>
    <n v="0.22"/>
    <n v="6239.22"/>
    <x v="0"/>
    <x v="1"/>
    <s v="Fulfilled by Amazon"/>
    <x v="0"/>
    <s v="Telangana"/>
  </r>
  <r>
    <x v="318"/>
    <d v="2026-03-13T00:00:00"/>
    <x v="5"/>
    <x v="101"/>
    <n v="2"/>
    <n v="349"/>
    <n v="0.1"/>
    <n v="628.20000000000005"/>
    <x v="0"/>
    <x v="0"/>
    <s v="Merchant"/>
    <x v="0"/>
    <s v="Uttar Pradesh"/>
  </r>
  <r>
    <x v="319"/>
    <d v="2026-03-15T00:00:00"/>
    <x v="0"/>
    <x v="85"/>
    <n v="1"/>
    <n v="1699"/>
    <n v="0.12"/>
    <n v="1495.12"/>
    <x v="0"/>
    <x v="4"/>
    <s v="Fulfilled by Amazon"/>
    <x v="0"/>
    <s v="Maharashtra"/>
  </r>
  <r>
    <x v="320"/>
    <d v="2026-03-18T00:00:00"/>
    <x v="1"/>
    <x v="102"/>
    <n v="2"/>
    <n v="1099"/>
    <n v="0.22"/>
    <n v="1714.44"/>
    <x v="0"/>
    <x v="0"/>
    <s v="Fulfilled by Amazon"/>
    <x v="0"/>
    <s v="Kerala"/>
  </r>
  <r>
    <x v="321"/>
    <d v="2026-03-20T00:00:00"/>
    <x v="2"/>
    <x v="2"/>
    <n v="1"/>
    <n v="3299"/>
    <n v="0.15"/>
    <n v="2804.15"/>
    <x v="0"/>
    <x v="2"/>
    <s v="Merchant"/>
    <x v="0"/>
    <s v="Karnataka"/>
  </r>
  <r>
    <x v="322"/>
    <d v="2026-03-23T00:00:00"/>
    <x v="3"/>
    <x v="103"/>
    <n v="2"/>
    <n v="499"/>
    <n v="0.12"/>
    <n v="878.24"/>
    <x v="0"/>
    <x v="3"/>
    <s v="Fulfilled by Amazon"/>
    <x v="0"/>
    <s v="Tamil Nadu"/>
  </r>
  <r>
    <x v="323"/>
    <d v="2026-03-25T00:00:00"/>
    <x v="4"/>
    <x v="11"/>
    <n v="1"/>
    <n v="2899"/>
    <n v="0.18"/>
    <n v="2377.1799999999998"/>
    <x v="0"/>
    <x v="0"/>
    <s v="Fulfilled by Amazon"/>
    <x v="0"/>
    <s v="Delhi"/>
  </r>
  <r>
    <x v="324"/>
    <d v="2026-03-28T00:00:00"/>
    <x v="5"/>
    <x v="105"/>
    <n v="1"/>
    <n v="649"/>
    <n v="0.15"/>
    <n v="551.65"/>
    <x v="0"/>
    <x v="3"/>
    <s v="Merchant"/>
    <x v="1"/>
    <s v="Haryana"/>
  </r>
  <r>
    <x v="325"/>
    <d v="2026-03-30T00:00:00"/>
    <x v="0"/>
    <x v="91"/>
    <n v="1"/>
    <n v="4499"/>
    <n v="0.15"/>
    <n v="3824.15"/>
    <x v="0"/>
    <x v="1"/>
    <s v="Fulfilled by Amazon"/>
    <x v="0"/>
    <s v="Maharashtra"/>
  </r>
  <r>
    <x v="326"/>
    <d v="2026-04-02T00:00:00"/>
    <x v="1"/>
    <x v="1"/>
    <n v="1"/>
    <n v="2499"/>
    <n v="0.2"/>
    <n v="1999.2"/>
    <x v="0"/>
    <x v="5"/>
    <s v="Fulfilled by Amazon"/>
    <x v="0"/>
    <s v="Karnataka"/>
  </r>
  <r>
    <x v="327"/>
    <d v="2026-04-04T00:00:00"/>
    <x v="2"/>
    <x v="8"/>
    <n v="1"/>
    <n v="1899"/>
    <n v="0.15"/>
    <n v="1614.15"/>
    <x v="0"/>
    <x v="0"/>
    <s v="Fulfilled by Amazon"/>
    <x v="0"/>
    <s v="West Bengal"/>
  </r>
  <r>
    <x v="328"/>
    <d v="2026-04-07T00:00:00"/>
    <x v="3"/>
    <x v="3"/>
    <n v="3"/>
    <n v="399"/>
    <n v="0.05"/>
    <n v="1137.1500000000001"/>
    <x v="0"/>
    <x v="3"/>
    <s v="Fulfilled by Amazon"/>
    <x v="0"/>
    <s v="Madhya Pradesh"/>
  </r>
  <r>
    <x v="329"/>
    <d v="2026-04-09T00:00:00"/>
    <x v="4"/>
    <x v="18"/>
    <n v="1"/>
    <n v="7792"/>
    <n v="0.2"/>
    <n v="6233.6"/>
    <x v="0"/>
    <x v="1"/>
    <s v="Fulfilled by Amazon"/>
    <x v="0"/>
    <s v="Delhi"/>
  </r>
  <r>
    <x v="330"/>
    <d v="2026-04-12T00:00:00"/>
    <x v="5"/>
    <x v="6"/>
    <n v="2"/>
    <n v="499"/>
    <n v="0.1"/>
    <n v="898.2"/>
    <x v="0"/>
    <x v="0"/>
    <s v="Merchant"/>
    <x v="0"/>
    <s v="Gujarat"/>
  </r>
  <r>
    <x v="331"/>
    <d v="2026-04-14T00:00:00"/>
    <x v="0"/>
    <x v="0"/>
    <n v="2"/>
    <n v="1499"/>
    <n v="0.1"/>
    <n v="2698.2"/>
    <x v="0"/>
    <x v="4"/>
    <s v="Fulfilled by Amazon"/>
    <x v="0"/>
    <s v="Maharashtra"/>
  </r>
  <r>
    <x v="332"/>
    <d v="2026-04-17T00:00:00"/>
    <x v="1"/>
    <x v="7"/>
    <n v="2"/>
    <n v="1299"/>
    <n v="0.28000000000000003"/>
    <n v="1870.56"/>
    <x v="0"/>
    <x v="0"/>
    <s v="Fulfilled by Amazon"/>
    <x v="0"/>
    <s v="Telangana"/>
  </r>
  <r>
    <x v="333"/>
    <d v="2026-04-19T00:00:00"/>
    <x v="2"/>
    <x v="15"/>
    <n v="3"/>
    <n v="980"/>
    <n v="0.08"/>
    <n v="2704.8"/>
    <x v="0"/>
    <x v="2"/>
    <s v="Fulfilled by Amazon"/>
    <x v="0"/>
    <s v="Karnataka"/>
  </r>
  <r>
    <x v="334"/>
    <d v="2026-04-22T00:00:00"/>
    <x v="3"/>
    <x v="10"/>
    <n v="3"/>
    <n v="650"/>
    <n v="0.1"/>
    <n v="1755"/>
    <x v="0"/>
    <x v="3"/>
    <s v="Fulfilled by Amazon"/>
    <x v="0"/>
    <s v="Tamil Nadu"/>
  </r>
  <r>
    <x v="335"/>
    <d v="2026-04-24T00:00:00"/>
    <x v="4"/>
    <x v="25"/>
    <n v="2"/>
    <n v="2199"/>
    <n v="0.12"/>
    <n v="3870.24"/>
    <x v="0"/>
    <x v="0"/>
    <s v="Fulfilled by Amazon"/>
    <x v="0"/>
    <s v="Uttar Pradesh"/>
  </r>
  <r>
    <x v="336"/>
    <d v="2026-04-27T00:00:00"/>
    <x v="5"/>
    <x v="14"/>
    <n v="1"/>
    <n v="1249"/>
    <n v="0.15"/>
    <n v="1061.6500000000001"/>
    <x v="0"/>
    <x v="0"/>
    <s v="Merchant"/>
    <x v="0"/>
    <s v="Punjab"/>
  </r>
  <r>
    <x v="337"/>
    <d v="2026-04-29T00:00:00"/>
    <x v="0"/>
    <x v="5"/>
    <n v="1"/>
    <n v="19999"/>
    <n v="0.08"/>
    <n v="18399.080000000002"/>
    <x v="0"/>
    <x v="1"/>
    <s v="Fulfilled by Amazon"/>
    <x v="0"/>
    <s v="Maharashtra"/>
  </r>
  <r>
    <x v="338"/>
    <d v="2026-05-02T00:00:00"/>
    <x v="1"/>
    <x v="12"/>
    <n v="1"/>
    <n v="3499"/>
    <n v="0.22"/>
    <n v="2729.22"/>
    <x v="0"/>
    <x v="1"/>
    <s v="Merchant"/>
    <x v="2"/>
    <s v="Delhi"/>
  </r>
  <r>
    <x v="339"/>
    <d v="2026-05-04T00:00:00"/>
    <x v="2"/>
    <x v="21"/>
    <n v="1"/>
    <n v="1750"/>
    <n v="0.1"/>
    <n v="1575"/>
    <x v="0"/>
    <x v="5"/>
    <s v="Fulfilled by Amazon"/>
    <x v="0"/>
    <s v="Karnataka"/>
  </r>
  <r>
    <x v="340"/>
    <d v="2026-05-07T00:00:00"/>
    <x v="3"/>
    <x v="16"/>
    <n v="2"/>
    <n v="599"/>
    <n v="0.12"/>
    <n v="1054.24"/>
    <x v="0"/>
    <x v="0"/>
    <s v="Fulfilled by Amazon"/>
    <x v="0"/>
    <s v="Rajasthan"/>
  </r>
  <r>
    <x v="341"/>
    <d v="2026-05-09T00:00:00"/>
    <x v="4"/>
    <x v="33"/>
    <n v="1"/>
    <n v="14999"/>
    <n v="0.15"/>
    <n v="12749.15"/>
    <x v="0"/>
    <x v="1"/>
    <s v="Fulfilled by Amazon"/>
    <x v="0"/>
    <s v="Telangana"/>
  </r>
  <r>
    <x v="342"/>
    <d v="2026-05-12T00:00:00"/>
    <x v="5"/>
    <x v="23"/>
    <n v="2"/>
    <n v="480"/>
    <n v="0.05"/>
    <n v="912"/>
    <x v="0"/>
    <x v="0"/>
    <s v="Fulfilled by Amazon"/>
    <x v="0"/>
    <s v="Gujarat"/>
  </r>
  <r>
    <x v="343"/>
    <d v="2026-05-14T00:00:00"/>
    <x v="0"/>
    <x v="9"/>
    <n v="1"/>
    <n v="1799"/>
    <n v="0.18"/>
    <n v="1475.18"/>
    <x v="0"/>
    <x v="4"/>
    <s v="Fulfilled by Amazon"/>
    <x v="0"/>
    <s v="Maharashtra"/>
  </r>
  <r>
    <x v="344"/>
    <d v="2026-05-17T00:00:00"/>
    <x v="1"/>
    <x v="20"/>
    <n v="2"/>
    <n v="1199"/>
    <n v="0.25"/>
    <n v="1798.5"/>
    <x v="0"/>
    <x v="3"/>
    <s v="Fulfilled by Amazon"/>
    <x v="0"/>
    <s v="Delhi"/>
  </r>
  <r>
    <x v="345"/>
    <d v="2026-05-19T00:00:00"/>
    <x v="2"/>
    <x v="28"/>
    <n v="1"/>
    <n v="995"/>
    <n v="0.1"/>
    <n v="895.5"/>
    <x v="0"/>
    <x v="2"/>
    <s v="Fulfilled by Amazon"/>
    <x v="0"/>
    <s v="West Bengal"/>
  </r>
  <r>
    <x v="346"/>
    <d v="2026-05-22T00:00:00"/>
    <x v="3"/>
    <x v="22"/>
    <n v="2"/>
    <n v="499"/>
    <n v="0.15"/>
    <n v="848.3"/>
    <x v="0"/>
    <x v="3"/>
    <s v="Merchant"/>
    <x v="1"/>
    <s v="Uttar Pradesh"/>
  </r>
  <r>
    <x v="347"/>
    <d v="2026-05-24T00:00:00"/>
    <x v="4"/>
    <x v="38"/>
    <n v="1"/>
    <n v="6299"/>
    <n v="0.18"/>
    <n v="5165.18"/>
    <x v="0"/>
    <x v="1"/>
    <s v="Fulfilled by Amazon"/>
    <x v="0"/>
    <s v="Karnataka"/>
  </r>
  <r>
    <x v="348"/>
    <d v="2026-05-27T00:00:00"/>
    <x v="5"/>
    <x v="30"/>
    <n v="2"/>
    <n v="699"/>
    <n v="0.15"/>
    <n v="1188.3"/>
    <x v="0"/>
    <x v="0"/>
    <s v="Merchant"/>
    <x v="0"/>
    <s v="Tamil Nadu"/>
  </r>
  <r>
    <x v="349"/>
    <d v="2026-05-29T00:00:00"/>
    <x v="0"/>
    <x v="13"/>
    <n v="2"/>
    <n v="2495"/>
    <n v="0.12"/>
    <n v="4391.2"/>
    <x v="0"/>
    <x v="4"/>
    <s v="Fulfilled by Amazon"/>
    <x v="0"/>
    <s v="Maharashtra"/>
  </r>
  <r>
    <x v="350"/>
    <d v="2026-06-01T00:00:00"/>
    <x v="1"/>
    <x v="26"/>
    <n v="1"/>
    <n v="1899"/>
    <n v="0.3"/>
    <n v="1329.3"/>
    <x v="0"/>
    <x v="0"/>
    <s v="Merchant"/>
    <x v="0"/>
    <s v="Delhi"/>
  </r>
  <r>
    <x v="351"/>
    <d v="2026-06-03T00:00:00"/>
    <x v="2"/>
    <x v="34"/>
    <n v="2"/>
    <n v="449"/>
    <n v="0.1"/>
    <n v="808.2"/>
    <x v="0"/>
    <x v="4"/>
    <s v="Fulfilled by Amazon"/>
    <x v="0"/>
    <s v="Karnataka"/>
  </r>
  <r>
    <x v="352"/>
    <d v="2026-06-05T00:00:00"/>
    <x v="3"/>
    <x v="29"/>
    <n v="3"/>
    <n v="549"/>
    <n v="0.05"/>
    <n v="1564.65"/>
    <x v="0"/>
    <x v="0"/>
    <s v="Fulfilled by Amazon"/>
    <x v="0"/>
    <s v="Tamil Nadu"/>
  </r>
  <r>
    <x v="353"/>
    <d v="2026-06-08T00:00:00"/>
    <x v="4"/>
    <x v="46"/>
    <n v="1"/>
    <n v="27490"/>
    <n v="0.15"/>
    <n v="23366.5"/>
    <x v="0"/>
    <x v="1"/>
    <s v="Fulfilled by Amazon"/>
    <x v="0"/>
    <s v="Maharashtra"/>
  </r>
  <r>
    <x v="354"/>
    <d v="2026-06-10T00:00:00"/>
    <x v="5"/>
    <x v="37"/>
    <n v="2"/>
    <n v="599"/>
    <n v="0.1"/>
    <n v="1078.2"/>
    <x v="0"/>
    <x v="0"/>
    <s v="Fulfilled by Amazon"/>
    <x v="0"/>
    <s v="Telangana"/>
  </r>
  <r>
    <x v="355"/>
    <d v="2026-06-13T00:00:00"/>
    <x v="0"/>
    <x v="17"/>
    <n v="2"/>
    <n v="1399"/>
    <n v="0.2"/>
    <n v="2238.4"/>
    <x v="0"/>
    <x v="1"/>
    <s v="Merchant"/>
    <x v="0"/>
    <s v="West Bengal"/>
  </r>
  <r>
    <x v="356"/>
    <d v="2026-06-15T00:00:00"/>
    <x v="1"/>
    <x v="32"/>
    <n v="1"/>
    <n v="1699"/>
    <n v="0.32"/>
    <n v="1155.32"/>
    <x v="0"/>
    <x v="0"/>
    <s v="Fulfilled by Amazon"/>
    <x v="0"/>
    <s v="Kerala"/>
  </r>
  <r>
    <x v="357"/>
    <d v="2026-06-18T00:00:00"/>
    <x v="2"/>
    <x v="41"/>
    <n v="3"/>
    <n v="349"/>
    <n v="0.1"/>
    <n v="942.3"/>
    <x v="0"/>
    <x v="3"/>
    <s v="Fulfilled by Amazon"/>
    <x v="0"/>
    <s v="Delhi"/>
  </r>
  <r>
    <x v="358"/>
    <d v="2026-06-20T00:00:00"/>
    <x v="3"/>
    <x v="36"/>
    <n v="1"/>
    <n v="1475"/>
    <n v="0.05"/>
    <n v="1401.25"/>
    <x v="0"/>
    <x v="2"/>
    <s v="Fulfilled by Amazon"/>
    <x v="0"/>
    <s v="Karnataka"/>
  </r>
  <r>
    <x v="359"/>
    <d v="2026-06-23T00:00:00"/>
    <x v="4"/>
    <x v="53"/>
    <n v="1"/>
    <n v="23990"/>
    <n v="0.15"/>
    <n v="20391.5"/>
    <x v="0"/>
    <x v="1"/>
    <s v="Fulfilled by Amazon"/>
    <x v="0"/>
    <s v="Maharashtra"/>
  </r>
  <r>
    <x v="360"/>
    <d v="2026-06-25T00:00:00"/>
    <x v="5"/>
    <x v="43"/>
    <n v="1"/>
    <n v="28990"/>
    <n v="0.22"/>
    <n v="22612.2"/>
    <x v="0"/>
    <x v="1"/>
    <s v="Merchant"/>
    <x v="0"/>
    <s v="Gujarat"/>
  </r>
  <r>
    <x v="361"/>
    <d v="2026-06-28T00:00:00"/>
    <x v="0"/>
    <x v="19"/>
    <n v="1"/>
    <n v="16999"/>
    <n v="0.15"/>
    <n v="14449.15"/>
    <x v="0"/>
    <x v="4"/>
    <s v="Fulfilled by Amazon"/>
    <x v="0"/>
    <s v="Tamil Nadu"/>
  </r>
  <r>
    <x v="362"/>
    <d v="2026-06-30T00:00:00"/>
    <x v="1"/>
    <x v="39"/>
    <n v="2"/>
    <n v="1499"/>
    <n v="0.25"/>
    <n v="2248.5"/>
    <x v="0"/>
    <x v="0"/>
    <s v="Merchant"/>
    <x v="2"/>
    <s v="Rajasthan"/>
  </r>
  <r>
    <x v="363"/>
    <d v="2026-07-02T00:00:00"/>
    <x v="2"/>
    <x v="47"/>
    <n v="1"/>
    <n v="2699"/>
    <n v="0.18"/>
    <n v="2213.1799999999998"/>
    <x v="0"/>
    <x v="2"/>
    <s v="Fulfilled by Amazon"/>
    <x v="0"/>
    <s v="Uttar Pradesh"/>
  </r>
  <r>
    <x v="364"/>
    <d v="2026-07-04T00:00:00"/>
    <x v="3"/>
    <x v="42"/>
    <n v="2"/>
    <n v="345"/>
    <n v="0.15"/>
    <n v="586.5"/>
    <x v="0"/>
    <x v="0"/>
    <s v="Fulfilled by Amazon"/>
    <x v="0"/>
    <s v="Delhi"/>
  </r>
  <r>
    <x v="365"/>
    <d v="2026-07-07T00:00:00"/>
    <x v="4"/>
    <x v="59"/>
    <n v="1"/>
    <n v="24490"/>
    <n v="0.12"/>
    <n v="21551.200000000001"/>
    <x v="0"/>
    <x v="1"/>
    <s v="Fulfilled by Amazon"/>
    <x v="0"/>
    <s v="Maharashtra"/>
  </r>
  <r>
    <x v="366"/>
    <d v="2026-07-09T00:00:00"/>
    <x v="5"/>
    <x v="6"/>
    <n v="2"/>
    <n v="499"/>
    <n v="0.1"/>
    <n v="898.2"/>
    <x v="0"/>
    <x v="3"/>
    <s v="Merchant"/>
    <x v="0"/>
    <s v="Punjab"/>
  </r>
  <r>
    <x v="367"/>
    <d v="2026-07-12T00:00:00"/>
    <x v="0"/>
    <x v="24"/>
    <n v="1"/>
    <n v="2999"/>
    <n v="0.18"/>
    <n v="2459.1799999999998"/>
    <x v="0"/>
    <x v="1"/>
    <s v="Fulfilled by Amazon"/>
    <x v="0"/>
    <s v="Karnataka"/>
  </r>
  <r>
    <x v="368"/>
    <d v="2026-07-14T00:00:00"/>
    <x v="1"/>
    <x v="45"/>
    <n v="2"/>
    <n v="1599"/>
    <n v="0.3"/>
    <n v="2238.6"/>
    <x v="0"/>
    <x v="0"/>
    <s v="Fulfilled by Amazon"/>
    <x v="0"/>
    <s v="Telangana"/>
  </r>
  <r>
    <x v="369"/>
    <d v="2026-07-17T00:00:00"/>
    <x v="2"/>
    <x v="51"/>
    <n v="1"/>
    <n v="2150"/>
    <n v="0.12"/>
    <n v="1892"/>
    <x v="0"/>
    <x v="2"/>
    <s v="Fulfilled by Amazon"/>
    <x v="0"/>
    <s v="West Bengal"/>
  </r>
  <r>
    <x v="370"/>
    <d v="2026-07-19T00:00:00"/>
    <x v="3"/>
    <x v="48"/>
    <n v="2"/>
    <n v="420"/>
    <n v="0.1"/>
    <n v="756"/>
    <x v="0"/>
    <x v="3"/>
    <s v="Fulfilled by Amazon"/>
    <x v="0"/>
    <s v="Maharashtra"/>
  </r>
  <r>
    <x v="371"/>
    <d v="2026-07-22T00:00:00"/>
    <x v="4"/>
    <x v="65"/>
    <n v="1"/>
    <n v="14990"/>
    <n v="0.14000000000000001"/>
    <n v="12891.4"/>
    <x v="0"/>
    <x v="1"/>
    <s v="Fulfilled by Amazon"/>
    <x v="0"/>
    <s v="Delhi"/>
  </r>
  <r>
    <x v="372"/>
    <d v="2026-07-24T00:00:00"/>
    <x v="5"/>
    <x v="14"/>
    <n v="1"/>
    <n v="1249"/>
    <n v="0.15"/>
    <n v="1061.6500000000001"/>
    <x v="0"/>
    <x v="0"/>
    <s v="Merchant"/>
    <x v="0"/>
    <s v="Andhra Pradesh"/>
  </r>
  <r>
    <x v="373"/>
    <d v="2026-07-27T00:00:00"/>
    <x v="0"/>
    <x v="27"/>
    <n v="1"/>
    <n v="10999"/>
    <n v="0.08"/>
    <n v="10119.08"/>
    <x v="0"/>
    <x v="1"/>
    <s v="Fulfilled by Amazon"/>
    <x v="0"/>
    <s v="Karnataka"/>
  </r>
  <r>
    <x v="374"/>
    <d v="2026-07-29T00:00:00"/>
    <x v="1"/>
    <x v="50"/>
    <n v="2"/>
    <n v="1299"/>
    <n v="0.2"/>
    <n v="2078.4"/>
    <x v="0"/>
    <x v="0"/>
    <s v="Fulfilled by Amazon"/>
    <x v="0"/>
    <s v="Tamil Nadu"/>
  </r>
  <r>
    <x v="375"/>
    <d v="2026-08-01T00:00:00"/>
    <x v="2"/>
    <x v="57"/>
    <n v="1"/>
    <n v="2199"/>
    <n v="0.18"/>
    <n v="1803.18"/>
    <x v="0"/>
    <x v="2"/>
    <s v="Merchant"/>
    <x v="0"/>
    <s v="Gujarat"/>
  </r>
  <r>
    <x v="376"/>
    <d v="2026-08-03T00:00:00"/>
    <x v="3"/>
    <x v="52"/>
    <n v="3"/>
    <n v="445"/>
    <n v="0.08"/>
    <n v="1228.2"/>
    <x v="0"/>
    <x v="0"/>
    <s v="Fulfilled by Amazon"/>
    <x v="0"/>
    <s v="Kerala"/>
  </r>
  <r>
    <x v="377"/>
    <d v="2026-08-06T00:00:00"/>
    <x v="4"/>
    <x v="71"/>
    <n v="1"/>
    <n v="3299"/>
    <n v="0.15"/>
    <n v="2804.15"/>
    <x v="0"/>
    <x v="1"/>
    <s v="Fulfilled by Amazon"/>
    <x v="0"/>
    <s v="Maharashtra"/>
  </r>
  <r>
    <x v="378"/>
    <d v="2026-08-08T00:00:00"/>
    <x v="5"/>
    <x v="23"/>
    <n v="2"/>
    <n v="480"/>
    <n v="0.05"/>
    <n v="912"/>
    <x v="0"/>
    <x v="3"/>
    <s v="Fulfilled by Amazon"/>
    <x v="0"/>
    <s v="Uttar Pradesh"/>
  </r>
  <r>
    <x v="379"/>
    <d v="2026-08-11T00:00:00"/>
    <x v="0"/>
    <x v="35"/>
    <n v="1"/>
    <n v="2299"/>
    <n v="0.12"/>
    <n v="2023.12"/>
    <x v="0"/>
    <x v="0"/>
    <s v="Fulfilled by Amazon"/>
    <x v="1"/>
    <s v="Delhi"/>
  </r>
  <r>
    <x v="380"/>
    <d v="2026-08-13T00:00:00"/>
    <x v="1"/>
    <x v="56"/>
    <n v="1"/>
    <n v="899"/>
    <n v="0.25"/>
    <n v="674.25"/>
    <x v="0"/>
    <x v="0"/>
    <s v="Fulfilled by Amazon"/>
    <x v="0"/>
    <s v="Karnataka"/>
  </r>
  <r>
    <x v="381"/>
    <d v="2026-08-16T00:00:00"/>
    <x v="2"/>
    <x v="63"/>
    <n v="3"/>
    <n v="299"/>
    <n v="0.15"/>
    <n v="762.45"/>
    <x v="0"/>
    <x v="3"/>
    <s v="Fulfilled by Amazon"/>
    <x v="0"/>
    <s v="Madhya Pradesh"/>
  </r>
  <r>
    <x v="382"/>
    <d v="2026-08-18T00:00:00"/>
    <x v="3"/>
    <x v="58"/>
    <n v="3"/>
    <n v="260"/>
    <n v="0.1"/>
    <n v="702"/>
    <x v="0"/>
    <x v="4"/>
    <s v="Fulfilled by Amazon"/>
    <x v="0"/>
    <s v="West Bengal"/>
  </r>
  <r>
    <x v="383"/>
    <d v="2026-08-21T00:00:00"/>
    <x v="4"/>
    <x v="77"/>
    <n v="1"/>
    <n v="5699"/>
    <n v="0.18"/>
    <n v="4673.18"/>
    <x v="0"/>
    <x v="2"/>
    <s v="Fulfilled by Amazon"/>
    <x v="0"/>
    <s v="Maharashtra"/>
  </r>
  <r>
    <x v="384"/>
    <d v="2026-08-23T00:00:00"/>
    <x v="5"/>
    <x v="30"/>
    <n v="2"/>
    <n v="699"/>
    <n v="0.15"/>
    <n v="1188.3"/>
    <x v="0"/>
    <x v="3"/>
    <s v="Merchant"/>
    <x v="0"/>
    <s v="Haryana"/>
  </r>
  <r>
    <x v="385"/>
    <d v="2026-08-26T00:00:00"/>
    <x v="0"/>
    <x v="31"/>
    <n v="3"/>
    <n v="849"/>
    <n v="0.2"/>
    <n v="2037.6"/>
    <x v="0"/>
    <x v="5"/>
    <s v="Fulfilled by Amazon"/>
    <x v="0"/>
    <s v="Telangana"/>
  </r>
  <r>
    <x v="386"/>
    <d v="2026-08-28T00:00:00"/>
    <x v="1"/>
    <x v="62"/>
    <n v="2"/>
    <n v="999"/>
    <n v="0.2"/>
    <n v="1598.4"/>
    <x v="0"/>
    <x v="0"/>
    <s v="Fulfilled by Amazon"/>
    <x v="0"/>
    <s v="Karnataka"/>
  </r>
  <r>
    <x v="387"/>
    <d v="2026-08-31T00:00:00"/>
    <x v="2"/>
    <x v="69"/>
    <n v="1"/>
    <n v="3199"/>
    <n v="0.12"/>
    <n v="2815.12"/>
    <x v="0"/>
    <x v="2"/>
    <s v="Fulfilled by Amazon"/>
    <x v="0"/>
    <s v="Tamil Nadu"/>
  </r>
  <r>
    <x v="388"/>
    <d v="2026-09-02T00:00:00"/>
    <x v="3"/>
    <x v="64"/>
    <n v="1"/>
    <n v="480"/>
    <n v="0.05"/>
    <n v="456"/>
    <x v="0"/>
    <x v="0"/>
    <s v="Fulfilled by Amazon"/>
    <x v="0"/>
    <s v="Delhi"/>
  </r>
  <r>
    <x v="389"/>
    <d v="2026-09-04T00:00:00"/>
    <x v="4"/>
    <x v="83"/>
    <n v="2"/>
    <n v="1499"/>
    <n v="0.12"/>
    <n v="2638.24"/>
    <x v="0"/>
    <x v="1"/>
    <s v="Fulfilled by Amazon"/>
    <x v="0"/>
    <s v="Maharashtra"/>
  </r>
  <r>
    <x v="390"/>
    <d v="2026-09-06T00:00:00"/>
    <x v="5"/>
    <x v="37"/>
    <n v="2"/>
    <n v="599"/>
    <n v="0.1"/>
    <n v="1078.2"/>
    <x v="0"/>
    <x v="0"/>
    <s v="Fulfilled by Amazon"/>
    <x v="0"/>
    <s v="Delhi"/>
  </r>
  <r>
    <x v="391"/>
    <d v="2026-09-08T00:00:00"/>
    <x v="0"/>
    <x v="55"/>
    <n v="2"/>
    <n v="1299"/>
    <n v="0.15"/>
    <n v="2208.3000000000002"/>
    <x v="0"/>
    <x v="4"/>
    <s v="Fulfilled by Amazon"/>
    <x v="0"/>
    <s v="Maharashtra"/>
  </r>
  <r>
    <x v="392"/>
    <d v="2026-09-10T00:00:00"/>
    <x v="1"/>
    <x v="68"/>
    <n v="1"/>
    <n v="1595"/>
    <n v="0.15"/>
    <n v="1355.75"/>
    <x v="0"/>
    <x v="1"/>
    <s v="Fulfilled by Amazon"/>
    <x v="0"/>
    <s v="Karnataka"/>
  </r>
  <r>
    <x v="393"/>
    <d v="2026-09-12T00:00:00"/>
    <x v="2"/>
    <x v="75"/>
    <n v="1"/>
    <n v="1699"/>
    <n v="0.15"/>
    <n v="1444.15"/>
    <x v="0"/>
    <x v="2"/>
    <s v="Fulfilled by Amazon"/>
    <x v="0"/>
    <s v="Tamil Nadu"/>
  </r>
  <r>
    <x v="394"/>
    <d v="2026-09-14T00:00:00"/>
    <x v="3"/>
    <x v="70"/>
    <n v="2"/>
    <n v="599"/>
    <n v="0.1"/>
    <n v="1078.2"/>
    <x v="0"/>
    <x v="3"/>
    <s v="Fulfilled by Amazon"/>
    <x v="0"/>
    <s v="West Bengal"/>
  </r>
  <r>
    <x v="395"/>
    <d v="2026-09-16T00:00:00"/>
    <x v="4"/>
    <x v="89"/>
    <n v="1"/>
    <n v="13999"/>
    <n v="0.14000000000000001"/>
    <n v="12039.14"/>
    <x v="0"/>
    <x v="1"/>
    <s v="Fulfilled by Amazon"/>
    <x v="0"/>
    <s v="Maharashtra"/>
  </r>
  <r>
    <x v="396"/>
    <d v="2026-09-18T00:00:00"/>
    <x v="5"/>
    <x v="54"/>
    <n v="4"/>
    <n v="399"/>
    <n v="0.05"/>
    <n v="1516.2"/>
    <x v="0"/>
    <x v="0"/>
    <s v="Merchant"/>
    <x v="0"/>
    <s v="Gujarat"/>
  </r>
  <r>
    <x v="397"/>
    <d v="2026-09-20T00:00:00"/>
    <x v="0"/>
    <x v="61"/>
    <n v="1"/>
    <n v="15499"/>
    <n v="0.1"/>
    <n v="13949.1"/>
    <x v="0"/>
    <x v="1"/>
    <s v="Fulfilled by Amazon"/>
    <x v="0"/>
    <s v="Delhi"/>
  </r>
  <r>
    <x v="398"/>
    <d v="2026-09-22T00:00:00"/>
    <x v="1"/>
    <x v="74"/>
    <n v="1"/>
    <n v="1399"/>
    <n v="0.25"/>
    <n v="1049.25"/>
    <x v="0"/>
    <x v="4"/>
    <s v="Fulfilled by Amazon"/>
    <x v="0"/>
    <s v="Karnataka"/>
  </r>
  <r>
    <x v="399"/>
    <d v="2026-09-24T00:00:00"/>
    <x v="2"/>
    <x v="81"/>
    <n v="2"/>
    <n v="849"/>
    <n v="0.1"/>
    <n v="1528.2"/>
    <x v="0"/>
    <x v="0"/>
    <s v="Fulfilled by Amazon"/>
    <x v="0"/>
    <s v="Kerala"/>
  </r>
  <r>
    <x v="400"/>
    <d v="2026-09-26T00:00:00"/>
    <x v="3"/>
    <x v="76"/>
    <n v="2"/>
    <n v="349"/>
    <n v="0.12"/>
    <n v="614.24"/>
    <x v="0"/>
    <x v="3"/>
    <s v="Merchant"/>
    <x v="1"/>
    <s v="Uttar Pradesh"/>
  </r>
  <r>
    <x v="401"/>
    <d v="2026-09-28T00:00:00"/>
    <x v="4"/>
    <x v="95"/>
    <n v="1"/>
    <n v="31990"/>
    <n v="0.16"/>
    <n v="26871.599999999999"/>
    <x v="0"/>
    <x v="1"/>
    <s v="Fulfilled by Amazon"/>
    <x v="0"/>
    <s v="Telangana"/>
  </r>
  <r>
    <x v="402"/>
    <d v="2026-10-01T00:00:00"/>
    <x v="5"/>
    <x v="60"/>
    <n v="2"/>
    <n v="299"/>
    <n v="0.1"/>
    <n v="538.20000000000005"/>
    <x v="0"/>
    <x v="0"/>
    <s v="Merchant"/>
    <x v="0"/>
    <s v="Tamil Nadu"/>
  </r>
  <r>
    <x v="403"/>
    <d v="2026-10-03T00:00:00"/>
    <x v="0"/>
    <x v="67"/>
    <n v="2"/>
    <n v="1199"/>
    <n v="0.18"/>
    <n v="1966.36"/>
    <x v="0"/>
    <x v="0"/>
    <s v="Fulfilled by Amazon"/>
    <x v="0"/>
    <s v="Maharashtra"/>
  </r>
  <r>
    <x v="404"/>
    <d v="2026-10-05T00:00:00"/>
    <x v="1"/>
    <x v="80"/>
    <n v="1"/>
    <n v="1049"/>
    <n v="0.3"/>
    <n v="734.3"/>
    <x v="0"/>
    <x v="3"/>
    <s v="Fulfilled by Amazon"/>
    <x v="0"/>
    <s v="Delhi"/>
  </r>
  <r>
    <x v="405"/>
    <d v="2026-10-07T00:00:00"/>
    <x v="2"/>
    <x v="87"/>
    <n v="1"/>
    <n v="1695"/>
    <n v="0.15"/>
    <n v="1440.75"/>
    <x v="0"/>
    <x v="2"/>
    <s v="Fulfilled by Amazon"/>
    <x v="0"/>
    <s v="Karnataka"/>
  </r>
  <r>
    <x v="406"/>
    <d v="2026-10-09T00:00:00"/>
    <x v="3"/>
    <x v="82"/>
    <n v="2"/>
    <n v="549"/>
    <n v="0.15"/>
    <n v="933.3"/>
    <x v="0"/>
    <x v="0"/>
    <s v="Fulfilled by Amazon"/>
    <x v="0"/>
    <s v="West Bengal"/>
  </r>
  <r>
    <x v="407"/>
    <d v="2026-10-11T00:00:00"/>
    <x v="4"/>
    <x v="100"/>
    <n v="1"/>
    <n v="7490"/>
    <n v="0.2"/>
    <n v="5992"/>
    <x v="0"/>
    <x v="1"/>
    <s v="Merchant"/>
    <x v="2"/>
    <s v="Rajasthan"/>
  </r>
  <r>
    <x v="408"/>
    <d v="2026-10-13T00:00:00"/>
    <x v="5"/>
    <x v="78"/>
    <n v="2"/>
    <n v="1299"/>
    <n v="0.15"/>
    <n v="2208.3000000000002"/>
    <x v="0"/>
    <x v="3"/>
    <s v="Merchant"/>
    <x v="0"/>
    <s v="Punjab"/>
  </r>
  <r>
    <x v="409"/>
    <d v="2026-10-15T00:00:00"/>
    <x v="0"/>
    <x v="73"/>
    <n v="1"/>
    <n v="37990"/>
    <n v="0.08"/>
    <n v="34950.800000000003"/>
    <x v="0"/>
    <x v="1"/>
    <s v="Fulfilled by Amazon"/>
    <x v="0"/>
    <s v="Maharashtra"/>
  </r>
  <r>
    <x v="410"/>
    <d v="2026-10-17T00:00:00"/>
    <x v="1"/>
    <x v="86"/>
    <n v="2"/>
    <n v="1149"/>
    <n v="0.2"/>
    <n v="1838.4"/>
    <x v="0"/>
    <x v="0"/>
    <s v="Fulfilled by Amazon"/>
    <x v="0"/>
    <s v="Karnataka"/>
  </r>
  <r>
    <x v="411"/>
    <d v="2026-10-19T00:00:00"/>
    <x v="2"/>
    <x v="93"/>
    <n v="2"/>
    <n v="799"/>
    <n v="0.12"/>
    <n v="1406.24"/>
    <x v="0"/>
    <x v="4"/>
    <s v="Fulfilled by Amazon"/>
    <x v="0"/>
    <s v="Delhi"/>
  </r>
  <r>
    <x v="412"/>
    <d v="2026-10-21T00:00:00"/>
    <x v="3"/>
    <x v="88"/>
    <n v="3"/>
    <n v="299"/>
    <n v="0.05"/>
    <n v="852.15"/>
    <x v="0"/>
    <x v="3"/>
    <s v="Fulfilled by Amazon"/>
    <x v="0"/>
    <s v="Tamil Nadu"/>
  </r>
  <r>
    <x v="413"/>
    <d v="2026-10-23T00:00:00"/>
    <x v="4"/>
    <x v="104"/>
    <n v="1"/>
    <n v="3895"/>
    <n v="0.18"/>
    <n v="3193.9"/>
    <x v="0"/>
    <x v="1"/>
    <s v="Fulfilled by Amazon"/>
    <x v="0"/>
    <s v="Telangana"/>
  </r>
  <r>
    <x v="414"/>
    <d v="2026-10-25T00:00:00"/>
    <x v="5"/>
    <x v="84"/>
    <n v="1"/>
    <n v="999"/>
    <n v="0.1"/>
    <n v="899.1"/>
    <x v="0"/>
    <x v="0"/>
    <s v="Merchant"/>
    <x v="0"/>
    <s v="Andhra Pradesh"/>
  </r>
  <r>
    <x v="415"/>
    <d v="2026-10-27T00:00:00"/>
    <x v="0"/>
    <x v="79"/>
    <n v="3"/>
    <n v="399"/>
    <n v="0.1"/>
    <n v="1077.3"/>
    <x v="0"/>
    <x v="4"/>
    <s v="Fulfilled by Amazon"/>
    <x v="0"/>
    <s v="Gujarat"/>
  </r>
  <r>
    <x v="416"/>
    <d v="2026-10-29T00:00:00"/>
    <x v="1"/>
    <x v="92"/>
    <n v="1"/>
    <n v="1499"/>
    <n v="0.25"/>
    <n v="1124.25"/>
    <x v="0"/>
    <x v="1"/>
    <s v="Fulfilled by Amazon"/>
    <x v="0"/>
    <s v="Maharashtra"/>
  </r>
  <r>
    <x v="417"/>
    <d v="2026-11-01T00:00:00"/>
    <x v="2"/>
    <x v="98"/>
    <n v="1"/>
    <n v="899"/>
    <n v="0.15"/>
    <n v="764.15"/>
    <x v="0"/>
    <x v="0"/>
    <s v="Fulfilled by Amazon"/>
    <x v="0"/>
    <s v="Karnataka"/>
  </r>
  <r>
    <x v="418"/>
    <d v="2026-11-03T00:00:00"/>
    <x v="3"/>
    <x v="94"/>
    <n v="1"/>
    <n v="899"/>
    <n v="0.1"/>
    <n v="809.1"/>
    <x v="0"/>
    <x v="2"/>
    <s v="Fulfilled by Amazon"/>
    <x v="0"/>
    <s v="Delhi"/>
  </r>
  <r>
    <x v="419"/>
    <d v="2026-11-05T00:00:00"/>
    <x v="4"/>
    <x v="4"/>
    <n v="1"/>
    <n v="7999"/>
    <n v="0.22"/>
    <n v="6239.22"/>
    <x v="0"/>
    <x v="1"/>
    <s v="Fulfilled by Amazon"/>
    <x v="0"/>
    <s v="West Bengal"/>
  </r>
  <r>
    <x v="420"/>
    <d v="2026-11-07T00:00:00"/>
    <x v="5"/>
    <x v="90"/>
    <n v="3"/>
    <n v="950"/>
    <n v="0.08"/>
    <n v="2622"/>
    <x v="0"/>
    <x v="0"/>
    <s v="Merchant"/>
    <x v="0"/>
    <s v="Kerala"/>
  </r>
  <r>
    <x v="421"/>
    <d v="2026-11-09T00:00:00"/>
    <x v="0"/>
    <x v="85"/>
    <n v="1"/>
    <n v="1699"/>
    <n v="0.12"/>
    <n v="1495.12"/>
    <x v="0"/>
    <x v="4"/>
    <s v="Fulfilled by Amazon"/>
    <x v="0"/>
    <s v="Maharashtra"/>
  </r>
  <r>
    <x v="422"/>
    <d v="2026-11-11T00:00:00"/>
    <x v="1"/>
    <x v="97"/>
    <n v="1"/>
    <n v="2290"/>
    <n v="0.2"/>
    <n v="1832"/>
    <x v="0"/>
    <x v="1"/>
    <s v="Fulfilled by Amazon"/>
    <x v="0"/>
    <s v="Tamil Nadu"/>
  </r>
  <r>
    <x v="423"/>
    <d v="2026-11-13T00:00:00"/>
    <x v="2"/>
    <x v="2"/>
    <n v="1"/>
    <n v="3299"/>
    <n v="0.15"/>
    <n v="2804.15"/>
    <x v="0"/>
    <x v="2"/>
    <s v="Merchant"/>
    <x v="0"/>
    <s v="Uttar Pradesh"/>
  </r>
  <r>
    <x v="424"/>
    <d v="2026-11-15T00:00:00"/>
    <x v="3"/>
    <x v="99"/>
    <n v="4"/>
    <n v="199"/>
    <n v="0.05"/>
    <n v="756.2"/>
    <x v="0"/>
    <x v="3"/>
    <s v="Fulfilled by Amazon"/>
    <x v="0"/>
    <s v="Delhi"/>
  </r>
  <r>
    <x v="425"/>
    <d v="2026-11-17T00:00:00"/>
    <x v="4"/>
    <x v="11"/>
    <n v="1"/>
    <n v="2899"/>
    <n v="0.18"/>
    <n v="2377.1799999999998"/>
    <x v="0"/>
    <x v="1"/>
    <s v="Fulfilled by Amazon"/>
    <x v="0"/>
    <s v="Karnataka"/>
  </r>
  <r>
    <x v="426"/>
    <d v="2026-11-19T00:00:00"/>
    <x v="5"/>
    <x v="96"/>
    <n v="3"/>
    <n v="249"/>
    <n v="0.05"/>
    <n v="709.65"/>
    <x v="0"/>
    <x v="0"/>
    <s v="Merchant"/>
    <x v="0"/>
    <s v="Haryana"/>
  </r>
  <r>
    <x v="427"/>
    <d v="2026-11-21T00:00:00"/>
    <x v="0"/>
    <x v="91"/>
    <n v="1"/>
    <n v="4499"/>
    <n v="0.15"/>
    <n v="3824.15"/>
    <x v="0"/>
    <x v="1"/>
    <s v="Fulfilled by Amazon"/>
    <x v="0"/>
    <s v="Telangana"/>
  </r>
  <r>
    <x v="428"/>
    <d v="2026-11-23T00:00:00"/>
    <x v="1"/>
    <x v="102"/>
    <n v="2"/>
    <n v="1099"/>
    <n v="0.22"/>
    <n v="1714.44"/>
    <x v="0"/>
    <x v="0"/>
    <s v="Fulfilled by Amazon"/>
    <x v="0"/>
    <s v="Maharashtra"/>
  </r>
  <r>
    <x v="429"/>
    <d v="2026-11-25T00:00:00"/>
    <x v="2"/>
    <x v="8"/>
    <n v="1"/>
    <n v="1899"/>
    <n v="0.15"/>
    <n v="1614.15"/>
    <x v="0"/>
    <x v="2"/>
    <s v="Fulfilled by Amazon"/>
    <x v="0"/>
    <s v="Gujarat"/>
  </r>
  <r>
    <x v="430"/>
    <d v="2026-11-27T00:00:00"/>
    <x v="3"/>
    <x v="103"/>
    <n v="2"/>
    <n v="499"/>
    <n v="0.12"/>
    <n v="878.24"/>
    <x v="0"/>
    <x v="3"/>
    <s v="Fulfilled by Amazon"/>
    <x v="0"/>
    <s v="Madhya Pradesh"/>
  </r>
  <r>
    <x v="431"/>
    <d v="2026-11-29T00:00:00"/>
    <x v="4"/>
    <x v="18"/>
    <n v="1"/>
    <n v="7792"/>
    <n v="0.2"/>
    <n v="6233.6"/>
    <x v="0"/>
    <x v="1"/>
    <s v="Fulfilled by Amazon"/>
    <x v="0"/>
    <s v="Delhi"/>
  </r>
  <r>
    <x v="432"/>
    <d v="2026-12-01T00:00:00"/>
    <x v="5"/>
    <x v="101"/>
    <n v="2"/>
    <n v="349"/>
    <n v="0.1"/>
    <n v="628.20000000000005"/>
    <x v="0"/>
    <x v="3"/>
    <s v="Merchant"/>
    <x v="1"/>
    <s v="Karnataka"/>
  </r>
  <r>
    <x v="433"/>
    <d v="2026-12-03T00:00:00"/>
    <x v="0"/>
    <x v="0"/>
    <n v="2"/>
    <n v="1499"/>
    <n v="0.1"/>
    <n v="2698.2"/>
    <x v="0"/>
    <x v="0"/>
    <s v="Fulfilled by Amazon"/>
    <x v="0"/>
    <s v="Maharashtra"/>
  </r>
  <r>
    <x v="434"/>
    <d v="2026-12-05T00:00:00"/>
    <x v="1"/>
    <x v="1"/>
    <n v="1"/>
    <n v="2499"/>
    <n v="0.2"/>
    <n v="1999.2"/>
    <x v="0"/>
    <x v="1"/>
    <s v="Fulfilled by Amazon"/>
    <x v="0"/>
    <s v="Tamil Nadu"/>
  </r>
  <r>
    <x v="435"/>
    <d v="2026-12-07T00:00:00"/>
    <x v="2"/>
    <x v="15"/>
    <n v="3"/>
    <n v="980"/>
    <n v="0.08"/>
    <n v="2704.8"/>
    <x v="0"/>
    <x v="2"/>
    <s v="Fulfilled by Amazon"/>
    <x v="0"/>
    <s v="West Bengal"/>
  </r>
  <r>
    <x v="436"/>
    <d v="2026-12-09T00:00:00"/>
    <x v="3"/>
    <x v="3"/>
    <n v="3"/>
    <n v="399"/>
    <n v="0.05"/>
    <n v="1137.1500000000001"/>
    <x v="0"/>
    <x v="3"/>
    <s v="Fulfilled by Amazon"/>
    <x v="0"/>
    <s v="Uttar Pradesh"/>
  </r>
  <r>
    <x v="437"/>
    <d v="2026-12-11T00:00:00"/>
    <x v="4"/>
    <x v="25"/>
    <n v="2"/>
    <n v="2199"/>
    <n v="0.12"/>
    <n v="3870.24"/>
    <x v="0"/>
    <x v="1"/>
    <s v="Fulfilled by Amazon"/>
    <x v="0"/>
    <s v="Karnataka"/>
  </r>
  <r>
    <x v="438"/>
    <d v="2026-12-13T00:00:00"/>
    <x v="5"/>
    <x v="105"/>
    <n v="1"/>
    <n v="649"/>
    <n v="0.15"/>
    <n v="551.65"/>
    <x v="0"/>
    <x v="0"/>
    <s v="Merchant"/>
    <x v="0"/>
    <s v="Delhi"/>
  </r>
  <r>
    <x v="439"/>
    <d v="2026-12-15T00:00:00"/>
    <x v="0"/>
    <x v="5"/>
    <n v="1"/>
    <n v="19999"/>
    <n v="0.08"/>
    <n v="18399.080000000002"/>
    <x v="0"/>
    <x v="4"/>
    <s v="Fulfilled by Amazon"/>
    <x v="0"/>
    <s v="Maharashtra"/>
  </r>
  <r>
    <x v="440"/>
    <d v="2026-12-16T00:00:00"/>
    <x v="1"/>
    <x v="7"/>
    <n v="2"/>
    <n v="1299"/>
    <n v="0.28000000000000003"/>
    <n v="1870.56"/>
    <x v="0"/>
    <x v="0"/>
    <s v="Fulfilled by Amazon"/>
    <x v="0"/>
    <s v="Delhi"/>
  </r>
  <r>
    <x v="441"/>
    <d v="2026-12-17T00:00:00"/>
    <x v="2"/>
    <x v="21"/>
    <n v="1"/>
    <n v="1750"/>
    <n v="0.1"/>
    <n v="1575"/>
    <x v="0"/>
    <x v="2"/>
    <s v="Fulfilled by Amazon"/>
    <x v="0"/>
    <s v="Karnataka"/>
  </r>
  <r>
    <x v="442"/>
    <d v="2026-12-18T00:00:00"/>
    <x v="3"/>
    <x v="10"/>
    <n v="3"/>
    <n v="650"/>
    <n v="0.1"/>
    <n v="1755"/>
    <x v="0"/>
    <x v="3"/>
    <s v="Fulfilled by Amazon"/>
    <x v="0"/>
    <s v="Maharashtra"/>
  </r>
  <r>
    <x v="443"/>
    <d v="2026-12-19T00:00:00"/>
    <x v="4"/>
    <x v="33"/>
    <n v="1"/>
    <n v="14999"/>
    <n v="0.15"/>
    <n v="12749.15"/>
    <x v="0"/>
    <x v="1"/>
    <s v="Fulfilled by Amazon"/>
    <x v="0"/>
    <s v="Telangana"/>
  </r>
  <r>
    <x v="444"/>
    <d v="2026-12-19T00:00:00"/>
    <x v="5"/>
    <x v="14"/>
    <n v="1"/>
    <n v="1249"/>
    <n v="0.15"/>
    <n v="1061.6500000000001"/>
    <x v="0"/>
    <x v="0"/>
    <s v="Merchant"/>
    <x v="0"/>
    <s v="Gujarat"/>
  </r>
  <r>
    <x v="445"/>
    <d v="2026-12-20T00:00:00"/>
    <x v="0"/>
    <x v="9"/>
    <n v="1"/>
    <n v="1799"/>
    <n v="0.18"/>
    <n v="1475.18"/>
    <x v="0"/>
    <x v="5"/>
    <s v="Fulfilled by Amazon"/>
    <x v="0"/>
    <s v="Delhi"/>
  </r>
  <r>
    <x v="446"/>
    <d v="2026-12-20T00:00:00"/>
    <x v="1"/>
    <x v="12"/>
    <n v="1"/>
    <n v="3499"/>
    <n v="0.22"/>
    <n v="2729.22"/>
    <x v="0"/>
    <x v="1"/>
    <s v="Merchant"/>
    <x v="2"/>
    <s v="Karnataka"/>
  </r>
  <r>
    <x v="447"/>
    <d v="2026-12-21T00:00:00"/>
    <x v="2"/>
    <x v="28"/>
    <n v="1"/>
    <n v="995"/>
    <n v="0.1"/>
    <n v="895.5"/>
    <x v="0"/>
    <x v="4"/>
    <s v="Fulfilled by Amazon"/>
    <x v="0"/>
    <s v="Tamil Nadu"/>
  </r>
  <r>
    <x v="448"/>
    <d v="2026-12-21T00:00:00"/>
    <x v="3"/>
    <x v="16"/>
    <n v="2"/>
    <n v="599"/>
    <n v="0.12"/>
    <n v="1054.24"/>
    <x v="0"/>
    <x v="0"/>
    <s v="Fulfilled by Amazon"/>
    <x v="0"/>
    <s v="Maharashtra"/>
  </r>
  <r>
    <x v="449"/>
    <d v="2026-12-22T00:00:00"/>
    <x v="4"/>
    <x v="38"/>
    <n v="1"/>
    <n v="6299"/>
    <n v="0.18"/>
    <n v="5165.18"/>
    <x v="0"/>
    <x v="2"/>
    <s v="Fulfilled by Amazon"/>
    <x v="0"/>
    <s v="West Bengal"/>
  </r>
  <r>
    <x v="450"/>
    <d v="2026-12-22T00:00:00"/>
    <x v="5"/>
    <x v="23"/>
    <n v="2"/>
    <n v="480"/>
    <n v="0.05"/>
    <n v="912"/>
    <x v="0"/>
    <x v="3"/>
    <s v="Merchant"/>
    <x v="1"/>
    <s v="Uttar Pradesh"/>
  </r>
  <r>
    <x v="451"/>
    <d v="2026-12-23T00:00:00"/>
    <x v="0"/>
    <x v="13"/>
    <n v="2"/>
    <n v="2495"/>
    <n v="0.12"/>
    <n v="4391.2"/>
    <x v="0"/>
    <x v="4"/>
    <s v="Fulfilled by Amazon"/>
    <x v="0"/>
    <s v="Karnataka"/>
  </r>
  <r>
    <x v="452"/>
    <d v="2026-12-23T00:00:00"/>
    <x v="1"/>
    <x v="20"/>
    <n v="2"/>
    <n v="1199"/>
    <n v="0.25"/>
    <n v="1798.5"/>
    <x v="0"/>
    <x v="0"/>
    <s v="Fulfilled by Amazon"/>
    <x v="0"/>
    <s v="Kerala"/>
  </r>
  <r>
    <x v="453"/>
    <d v="2026-12-24T00:00:00"/>
    <x v="2"/>
    <x v="34"/>
    <n v="2"/>
    <n v="449"/>
    <n v="0.1"/>
    <n v="808.2"/>
    <x v="0"/>
    <x v="3"/>
    <s v="Fulfilled by Amazon"/>
    <x v="0"/>
    <s v="Delhi"/>
  </r>
  <r>
    <x v="454"/>
    <d v="2026-12-24T00:00:00"/>
    <x v="3"/>
    <x v="22"/>
    <n v="2"/>
    <n v="499"/>
    <n v="0.15"/>
    <n v="848.3"/>
    <x v="0"/>
    <x v="3"/>
    <s v="Merchant"/>
    <x v="1"/>
    <s v="Rajasthan"/>
  </r>
  <r>
    <x v="455"/>
    <d v="2026-12-24T00:00:00"/>
    <x v="4"/>
    <x v="46"/>
    <n v="1"/>
    <n v="27490"/>
    <n v="0.15"/>
    <n v="23366.5"/>
    <x v="0"/>
    <x v="2"/>
    <s v="Fulfilled by Amazon"/>
    <x v="0"/>
    <s v="Maharashtra"/>
  </r>
  <r>
    <x v="456"/>
    <d v="2026-12-25T00:00:00"/>
    <x v="5"/>
    <x v="30"/>
    <n v="2"/>
    <n v="699"/>
    <n v="0.15"/>
    <n v="1188.3"/>
    <x v="0"/>
    <x v="1"/>
    <s v="Merchant"/>
    <x v="0"/>
    <s v="Gujarat"/>
  </r>
  <r>
    <x v="457"/>
    <d v="2026-12-25T00:00:00"/>
    <x v="0"/>
    <x v="17"/>
    <n v="2"/>
    <n v="1399"/>
    <n v="0.2"/>
    <n v="2238.4"/>
    <x v="0"/>
    <x v="1"/>
    <s v="Fulfilled by Amazon"/>
    <x v="0"/>
    <s v="Telangana"/>
  </r>
  <r>
    <x v="458"/>
    <d v="2026-12-25T00:00:00"/>
    <x v="1"/>
    <x v="26"/>
    <n v="1"/>
    <n v="1899"/>
    <n v="0.3"/>
    <n v="1329.3"/>
    <x v="0"/>
    <x v="0"/>
    <s v="Fulfilled by Amazon"/>
    <x v="0"/>
    <s v="Tamil Nadu"/>
  </r>
  <r>
    <x v="459"/>
    <d v="2026-12-26T00:00:00"/>
    <x v="2"/>
    <x v="47"/>
    <n v="1"/>
    <n v="2699"/>
    <n v="0.18"/>
    <n v="2213.1799999999998"/>
    <x v="0"/>
    <x v="0"/>
    <s v="Merchant"/>
    <x v="1"/>
    <s v="Maharashtra"/>
  </r>
  <r>
    <x v="460"/>
    <d v="2026-12-26T00:00:00"/>
    <x v="3"/>
    <x v="29"/>
    <n v="3"/>
    <n v="549"/>
    <n v="0.05"/>
    <n v="1564.65"/>
    <x v="0"/>
    <x v="0"/>
    <s v="Fulfilled by Amazon"/>
    <x v="0"/>
    <s v="Delhi"/>
  </r>
  <r>
    <x v="461"/>
    <d v="2026-12-26T00:00:00"/>
    <x v="4"/>
    <x v="53"/>
    <n v="1"/>
    <n v="23990"/>
    <n v="0.15"/>
    <n v="20391.5"/>
    <x v="0"/>
    <x v="1"/>
    <s v="Fulfilled by Amazon"/>
    <x v="0"/>
    <s v="Karnataka"/>
  </r>
  <r>
    <x v="462"/>
    <d v="2026-12-27T00:00:00"/>
    <x v="5"/>
    <x v="37"/>
    <n v="2"/>
    <n v="599"/>
    <n v="0.1"/>
    <n v="1078.2"/>
    <x v="0"/>
    <x v="3"/>
    <s v="Fulfilled by Amazon"/>
    <x v="0"/>
    <s v="West Bengal"/>
  </r>
  <r>
    <x v="463"/>
    <d v="2026-12-27T00:00:00"/>
    <x v="0"/>
    <x v="19"/>
    <n v="1"/>
    <n v="16999"/>
    <n v="0.15"/>
    <n v="14449.15"/>
    <x v="0"/>
    <x v="4"/>
    <s v="Fulfilled by Amazon"/>
    <x v="0"/>
    <s v="Maharashtra"/>
  </r>
  <r>
    <x v="464"/>
    <d v="2026-12-27T00:00:00"/>
    <x v="1"/>
    <x v="32"/>
    <n v="1"/>
    <n v="1699"/>
    <n v="0.32"/>
    <n v="1155.32"/>
    <x v="0"/>
    <x v="0"/>
    <s v="Fulfilled by Amazon"/>
    <x v="0"/>
    <s v="Punjab"/>
  </r>
  <r>
    <x v="465"/>
    <d v="2026-12-28T00:00:00"/>
    <x v="2"/>
    <x v="41"/>
    <n v="3"/>
    <n v="349"/>
    <n v="0.1"/>
    <n v="942.3"/>
    <x v="0"/>
    <x v="2"/>
    <s v="Fulfilled by Amazon"/>
    <x v="0"/>
    <s v="Delhi"/>
  </r>
  <r>
    <x v="466"/>
    <d v="2026-12-28T00:00:00"/>
    <x v="3"/>
    <x v="36"/>
    <n v="1"/>
    <n v="1475"/>
    <n v="0.05"/>
    <n v="1401.25"/>
    <x v="0"/>
    <x v="1"/>
    <s v="Fulfilled by Amazon"/>
    <x v="0"/>
    <s v="Karnataka"/>
  </r>
  <r>
    <x v="467"/>
    <d v="2026-12-28T00:00:00"/>
    <x v="4"/>
    <x v="59"/>
    <n v="1"/>
    <n v="24490"/>
    <n v="0.12"/>
    <n v="21551.200000000001"/>
    <x v="0"/>
    <x v="1"/>
    <s v="Fulfilled by Amazon"/>
    <x v="0"/>
    <s v="Tamil Nadu"/>
  </r>
  <r>
    <x v="468"/>
    <d v="2026-12-28T00:00:00"/>
    <x v="5"/>
    <x v="43"/>
    <n v="1"/>
    <n v="28990"/>
    <n v="0.22"/>
    <n v="22612.2"/>
    <x v="0"/>
    <x v="5"/>
    <s v="Merchant"/>
    <x v="0"/>
    <s v="Maharashtra"/>
  </r>
  <r>
    <x v="469"/>
    <d v="2026-12-29T00:00:00"/>
    <x v="0"/>
    <x v="24"/>
    <n v="1"/>
    <n v="2999"/>
    <n v="0.18"/>
    <n v="2459.1799999999998"/>
    <x v="0"/>
    <x v="1"/>
    <s v="Fulfilled by Amazon"/>
    <x v="0"/>
    <s v="Telangana"/>
  </r>
  <r>
    <x v="470"/>
    <d v="2026-12-29T00:00:00"/>
    <x v="1"/>
    <x v="39"/>
    <n v="2"/>
    <n v="1499"/>
    <n v="0.25"/>
    <n v="2248.5"/>
    <x v="0"/>
    <x v="1"/>
    <s v="Merchant"/>
    <x v="2"/>
    <s v="Delhi"/>
  </r>
  <r>
    <x v="471"/>
    <d v="2026-12-29T00:00:00"/>
    <x v="2"/>
    <x v="51"/>
    <n v="1"/>
    <n v="2150"/>
    <n v="0.12"/>
    <n v="1892"/>
    <x v="0"/>
    <x v="0"/>
    <s v="Fulfilled by Amazon"/>
    <x v="0"/>
    <s v="Gujarat"/>
  </r>
  <r>
    <x v="472"/>
    <d v="2026-12-29T00:00:00"/>
    <x v="3"/>
    <x v="42"/>
    <n v="2"/>
    <n v="345"/>
    <n v="0.15"/>
    <n v="586.5"/>
    <x v="0"/>
    <x v="4"/>
    <s v="Fulfilled by Amazon"/>
    <x v="0"/>
    <s v="Karnataka"/>
  </r>
  <r>
    <x v="473"/>
    <d v="2026-12-30T00:00:00"/>
    <x v="4"/>
    <x v="65"/>
    <n v="1"/>
    <n v="14990"/>
    <n v="0.14000000000000001"/>
    <n v="12891.4"/>
    <x v="0"/>
    <x v="2"/>
    <s v="Fulfilled by Amazon"/>
    <x v="0"/>
    <s v="Maharashtra"/>
  </r>
  <r>
    <x v="474"/>
    <d v="2026-12-30T00:00:00"/>
    <x v="5"/>
    <x v="6"/>
    <n v="2"/>
    <n v="499"/>
    <n v="0.1"/>
    <n v="898.2"/>
    <x v="0"/>
    <x v="3"/>
    <s v="Merchant"/>
    <x v="0"/>
    <s v="Haryana"/>
  </r>
  <r>
    <x v="475"/>
    <d v="2026-12-30T00:00:00"/>
    <x v="0"/>
    <x v="27"/>
    <n v="1"/>
    <n v="10999"/>
    <n v="0.08"/>
    <n v="10119.08"/>
    <x v="0"/>
    <x v="1"/>
    <s v="Fulfilled by Amazon"/>
    <x v="0"/>
    <s v="Delhi"/>
  </r>
  <r>
    <x v="476"/>
    <d v="2026-12-30T00:00:00"/>
    <x v="1"/>
    <x v="45"/>
    <n v="2"/>
    <n v="1599"/>
    <n v="0.3"/>
    <n v="2238.6"/>
    <x v="0"/>
    <x v="0"/>
    <s v="Fulfilled by Amazon"/>
    <x v="0"/>
    <s v="West Bengal"/>
  </r>
  <r>
    <x v="477"/>
    <d v="2026-12-30T00:00:00"/>
    <x v="2"/>
    <x v="57"/>
    <n v="1"/>
    <n v="2199"/>
    <n v="0.18"/>
    <n v="1803.18"/>
    <x v="0"/>
    <x v="2"/>
    <s v="Merchant"/>
    <x v="0"/>
    <s v="Uttar Pradesh"/>
  </r>
  <r>
    <x v="478"/>
    <d v="2026-12-31T00:00:00"/>
    <x v="3"/>
    <x v="48"/>
    <n v="2"/>
    <n v="420"/>
    <n v="0.1"/>
    <n v="756"/>
    <x v="0"/>
    <x v="3"/>
    <s v="Fulfilled by Amazon"/>
    <x v="3"/>
    <s v="Maharashtra"/>
  </r>
  <r>
    <x v="479"/>
    <d v="2026-12-31T00:00:00"/>
    <x v="4"/>
    <x v="71"/>
    <n v="1"/>
    <n v="3299"/>
    <n v="0.15"/>
    <n v="2804.15"/>
    <x v="0"/>
    <x v="1"/>
    <s v="Fulfilled by Amazon"/>
    <x v="3"/>
    <s v="Karnataka"/>
  </r>
  <r>
    <x v="480"/>
    <d v="2026-12-31T00:00:00"/>
    <x v="5"/>
    <x v="14"/>
    <n v="1"/>
    <n v="1249"/>
    <n v="0.15"/>
    <n v="1061.6500000000001"/>
    <x v="0"/>
    <x v="0"/>
    <s v="Merchant"/>
    <x v="3"/>
    <s v="Tamil Nadu"/>
  </r>
  <r>
    <x v="481"/>
    <d v="2026-12-31T00:00:00"/>
    <x v="0"/>
    <x v="31"/>
    <n v="3"/>
    <n v="849"/>
    <n v="0.2"/>
    <n v="2037.6"/>
    <x v="0"/>
    <x v="5"/>
    <s v="Fulfilled by Amazon"/>
    <x v="3"/>
    <s v="Delhi"/>
  </r>
  <r>
    <x v="482"/>
    <d v="2026-12-31T00:00:00"/>
    <x v="1"/>
    <x v="50"/>
    <n v="2"/>
    <n v="1299"/>
    <n v="0.2"/>
    <n v="2078.4"/>
    <x v="0"/>
    <x v="0"/>
    <s v="Fulfilled by Amazon"/>
    <x v="3"/>
    <s v="Telangana"/>
  </r>
  <r>
    <x v="483"/>
    <d v="2026-12-31T00:00:00"/>
    <x v="2"/>
    <x v="63"/>
    <n v="3"/>
    <n v="299"/>
    <n v="0.15"/>
    <n v="762.45"/>
    <x v="0"/>
    <x v="3"/>
    <s v="Fulfilled by Amazon"/>
    <x v="3"/>
    <s v="Gujarat"/>
  </r>
  <r>
    <x v="484"/>
    <d v="2026-12-31T00:00:00"/>
    <x v="3"/>
    <x v="52"/>
    <n v="3"/>
    <n v="445"/>
    <n v="0.08"/>
    <n v="1228.2"/>
    <x v="0"/>
    <x v="0"/>
    <s v="Fulfilled by Amazon"/>
    <x v="3"/>
    <s v="Kerala"/>
  </r>
  <r>
    <x v="485"/>
    <d v="2026-12-31T00:00:00"/>
    <x v="4"/>
    <x v="77"/>
    <n v="1"/>
    <n v="5699"/>
    <n v="0.18"/>
    <n v="4673.18"/>
    <x v="0"/>
    <x v="2"/>
    <s v="Fulfilled by Amazon"/>
    <x v="3"/>
    <s v="Maharashtra"/>
  </r>
  <r>
    <x v="486"/>
    <d v="2026-12-31T00:00:00"/>
    <x v="5"/>
    <x v="23"/>
    <n v="2"/>
    <n v="480"/>
    <n v="0.05"/>
    <n v="912"/>
    <x v="0"/>
    <x v="0"/>
    <s v="Merchant"/>
    <x v="4"/>
    <s v="Delhi"/>
  </r>
  <r>
    <x v="487"/>
    <d v="2026-12-31T00:00:00"/>
    <x v="0"/>
    <x v="35"/>
    <n v="1"/>
    <n v="2299"/>
    <n v="0.12"/>
    <n v="2023.12"/>
    <x v="0"/>
    <x v="0"/>
    <s v="Merchant"/>
    <x v="4"/>
    <s v="Karnataka"/>
  </r>
  <r>
    <x v="488"/>
    <d v="2026-12-31T00:00:00"/>
    <x v="1"/>
    <x v="56"/>
    <n v="1"/>
    <n v="899"/>
    <n v="0.25"/>
    <n v="674.25"/>
    <x v="0"/>
    <x v="0"/>
    <s v="Fulfilled by Amazon"/>
    <x v="4"/>
    <s v="Tamil Nadu"/>
  </r>
  <r>
    <x v="489"/>
    <d v="2026-12-31T00:00:00"/>
    <x v="2"/>
    <x v="69"/>
    <n v="1"/>
    <n v="3199"/>
    <n v="0.12"/>
    <n v="2815.12"/>
    <x v="0"/>
    <x v="0"/>
    <s v="Fulfilled by Amazon"/>
    <x v="4"/>
    <s v="Maharashtra"/>
  </r>
  <r>
    <x v="490"/>
    <d v="2026-12-31T00:00:00"/>
    <x v="3"/>
    <x v="58"/>
    <n v="3"/>
    <n v="260"/>
    <n v="0.1"/>
    <n v="702"/>
    <x v="0"/>
    <x v="4"/>
    <s v="Fulfilled by Amazon"/>
    <x v="4"/>
    <s v="West Bengal"/>
  </r>
  <r>
    <x v="491"/>
    <d v="2026-12-31T00:00:00"/>
    <x v="4"/>
    <x v="83"/>
    <n v="2"/>
    <n v="1499"/>
    <n v="0.12"/>
    <n v="2638.24"/>
    <x v="0"/>
    <x v="1"/>
    <s v="Fulfilled by Amazon"/>
    <x v="4"/>
    <s v="Telangana"/>
  </r>
  <r>
    <x v="492"/>
    <d v="2026-12-31T00:00:00"/>
    <x v="5"/>
    <x v="30"/>
    <n v="2"/>
    <n v="699"/>
    <n v="0.15"/>
    <n v="1188.3"/>
    <x v="0"/>
    <x v="3"/>
    <s v="Merchant"/>
    <x v="4"/>
    <s v="Rajasthan"/>
  </r>
  <r>
    <x v="493"/>
    <d v="2026-12-31T00:00:00"/>
    <x v="0"/>
    <x v="40"/>
    <n v="1"/>
    <n v="24999"/>
    <n v="0.2"/>
    <n v="19999.2"/>
    <x v="0"/>
    <x v="1"/>
    <s v="Fulfilled by Amazon"/>
    <x v="4"/>
    <s v="Delhi"/>
  </r>
  <r>
    <x v="494"/>
    <d v="2026-12-31T00:00:00"/>
    <x v="1"/>
    <x v="62"/>
    <n v="2"/>
    <n v="999"/>
    <n v="0.2"/>
    <n v="1598.4"/>
    <x v="0"/>
    <x v="0"/>
    <s v="Fulfilled by Amazon"/>
    <x v="4"/>
    <s v="Karnataka"/>
  </r>
  <r>
    <x v="495"/>
    <d v="2026-12-31T00:00:00"/>
    <x v="2"/>
    <x v="75"/>
    <n v="1"/>
    <n v="1699"/>
    <n v="0.15"/>
    <n v="1444.15"/>
    <x v="0"/>
    <x v="1"/>
    <s v="Fulfilled by Amazon"/>
    <x v="4"/>
    <s v="Maharashtra"/>
  </r>
  <r>
    <x v="496"/>
    <d v="2026-12-31T00:00:00"/>
    <x v="3"/>
    <x v="64"/>
    <n v="1"/>
    <n v="480"/>
    <n v="0.05"/>
    <n v="456"/>
    <x v="0"/>
    <x v="2"/>
    <s v="Fulfilled by Amazon"/>
    <x v="4"/>
    <s v="Tamil Nadu"/>
  </r>
  <r>
    <x v="497"/>
    <d v="2026-12-31T00:00:00"/>
    <x v="4"/>
    <x v="89"/>
    <n v="1"/>
    <n v="13999"/>
    <n v="0.14000000000000001"/>
    <n v="12039.14"/>
    <x v="0"/>
    <x v="1"/>
    <s v="Fulfilled by Amazon"/>
    <x v="4"/>
    <s v="Telangana"/>
  </r>
  <r>
    <x v="498"/>
    <d v="2026-12-31T00:00:00"/>
    <x v="0"/>
    <x v="44"/>
    <n v="1"/>
    <n v="29990"/>
    <n v="0.1"/>
    <n v="26991"/>
    <x v="0"/>
    <x v="4"/>
    <s v="Fulfilled by Amazon"/>
    <x v="4"/>
    <s v="Karnataka"/>
  </r>
  <r>
    <x v="499"/>
    <d v="2026-12-31T00:00:00"/>
    <x v="0"/>
    <x v="44"/>
    <n v="1"/>
    <n v="29990"/>
    <n v="0.1"/>
    <n v="26991"/>
    <x v="0"/>
    <x v="4"/>
    <s v="Fulfilled by Amazon"/>
    <x v="4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1D5FA-9DCA-407F-9A8F-45A4F93842F9}" name="PivotTable1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0" firstHeaderRow="1" firstDataRow="1" firstDataCol="1"/>
  <pivotFields count="13">
    <pivotField compact="0" outline="0" showAll="0"/>
    <pivotField compact="0" numFmtId="164" outline="0" showAll="0"/>
    <pivotField axis="axisRow" compact="0" outline="0" showAll="0" sortType="ascending">
      <items count="7">
        <item x="4"/>
        <item x="3"/>
        <item x="0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3" outline="0" showAll="0"/>
    <pivotField compact="0" numFmtId="165" outline="0" showAll="0"/>
    <pivotField compact="0" numFmtId="166" outline="0" showAll="0"/>
    <pivotField dataField="1" compact="0" numFmtId="165" outline="0" showAll="0"/>
    <pivotField compact="0" outline="0" showAll="0">
      <items count="2">
        <item x="0"/>
        <item t="default"/>
      </items>
    </pivotField>
    <pivotField compact="0" outline="0" showAll="0">
      <items count="7">
        <item x="4"/>
        <item x="3"/>
        <item x="1"/>
        <item x="5"/>
        <item x="2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7">
    <i>
      <x v="1"/>
    </i>
    <i>
      <x v="4"/>
    </i>
    <i>
      <x v="3"/>
    </i>
    <i>
      <x v="5"/>
    </i>
    <i>
      <x v="2"/>
    </i>
    <i>
      <x/>
    </i>
    <i t="grand">
      <x/>
    </i>
  </rowItems>
  <colItems count="1">
    <i/>
  </colItems>
  <dataFields count="1">
    <dataField name="Sum of Total_Sales_INR" fld="7" baseField="0" baseItem="0" numFmtId="165"/>
  </dataFields>
  <formats count="8">
    <format dxfId="27">
      <pivotArea field="2" type="button" dataOnly="0" labelOnly="1" outline="0" axis="axisRow" fieldPosition="0"/>
    </format>
    <format dxfId="28">
      <pivotArea field="2" type="button" dataOnly="0" labelOnly="1" outline="0" axis="axisRow" fieldPosition="0"/>
    </format>
    <format dxfId="29">
      <pivotArea dataOnly="0" labelOnly="1" outline="0" axis="axisValues" fieldPosition="0"/>
    </format>
    <format dxfId="30">
      <pivotArea dataOnly="0" labelOnly="1" outline="0" axis="axisValues" fieldPosition="0"/>
    </format>
    <format dxfId="31">
      <pivotArea dataOnly="0" labelOnly="1" grandRow="1" outline="0" fieldPosition="0"/>
    </format>
    <format dxfId="32">
      <pivotArea dataOnly="0" labelOnly="1" grandRow="1" outline="0" fieldPosition="0"/>
    </format>
    <format dxfId="33">
      <pivotArea grandRow="1" outline="0" collapsedLevelsAreSubtotals="1" fieldPosition="0"/>
    </format>
    <format dxfId="34">
      <pivotArea grandRow="1" outline="0" collapsedLevelsAreSubtotals="1" fieldPosition="0"/>
    </format>
  </format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E6176-03F5-4A46-A7AB-7E9B40F0F7B9}" name="PivotTable2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0" firstHeaderRow="1" firstDataRow="1" firstDataCol="1"/>
  <pivotFields count="13">
    <pivotField compact="0" outline="0" showAll="0"/>
    <pivotField compact="0" numFmtId="164" outline="0" showAll="0"/>
    <pivotField axis="axisRow" compact="0" outline="0" showAll="0">
      <items count="7">
        <item x="4"/>
        <item x="3"/>
        <item x="0"/>
        <item x="1"/>
        <item x="2"/>
        <item x="5"/>
        <item t="default"/>
      </items>
    </pivotField>
    <pivotField compact="0" outline="0" showAll="0"/>
    <pivotField compact="0" numFmtId="3" outline="0" showAll="0"/>
    <pivotField compact="0" numFmtId="165" outline="0" showAll="0"/>
    <pivotField compact="0" numFmtId="166" outline="0" showAll="0"/>
    <pivotField compact="0" numFmtId="165" outline="0" showAll="0"/>
    <pivotField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ofit_INR" fld="8" subtotal="count" baseField="0" baseItem="0"/>
  </dataFields>
  <formats count="8">
    <format dxfId="19">
      <pivotArea field="2" type="button" dataOnly="0" labelOnly="1" outline="0" axis="axisRow" fieldPosition="0"/>
    </format>
    <format dxfId="20">
      <pivotArea dataOnly="0" labelOnly="1" outline="0" axis="axisValues" fieldPosition="0"/>
    </format>
    <format dxfId="21">
      <pivotArea dataOnly="0" labelOnly="1" outline="0" axis="axisValues" fieldPosition="0"/>
    </format>
    <format dxfId="22">
      <pivotArea field="2" type="button" dataOnly="0" labelOnly="1" outline="0" axis="axisRow" fieldPosition="0"/>
    </format>
    <format dxfId="23">
      <pivotArea dataOnly="0" labelOnly="1" grandRow="1" outline="0" fieldPosition="0"/>
    </format>
    <format dxfId="24">
      <pivotArea dataOnly="0" labelOnly="1" grandRow="1" outline="0" fieldPosition="0"/>
    </format>
    <format dxfId="25">
      <pivotArea grandRow="1" outline="0" collapsedLevelsAreSubtotals="1" fieldPosition="0"/>
    </format>
    <format dxfId="26">
      <pivotArea grandRow="1"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464E3-F417-429C-B754-078FCEE98431}" name="PivotTable3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4" firstHeaderRow="1" firstDataRow="1" firstDataCol="1"/>
  <pivotFields count="13">
    <pivotField compact="0" outline="0" showAll="0"/>
    <pivotField compact="0" numFmtId="164" outline="0" showAll="0"/>
    <pivotField compact="0" outline="0" showAll="0"/>
    <pivotField axis="axisRow" compact="0" outline="0" showAll="0" measureFilter="1">
      <items count="107">
        <item x="20"/>
        <item x="75"/>
        <item x="91"/>
        <item x="27"/>
        <item x="26"/>
        <item x="77"/>
        <item x="57"/>
        <item x="11"/>
        <item x="82"/>
        <item x="7"/>
        <item x="48"/>
        <item x="55"/>
        <item x="0"/>
        <item x="60"/>
        <item x="6"/>
        <item x="96"/>
        <item x="28"/>
        <item x="67"/>
        <item x="101"/>
        <item x="69"/>
        <item x="80"/>
        <item x="41"/>
        <item x="64"/>
        <item x="43"/>
        <item x="54"/>
        <item x="105"/>
        <item x="18"/>
        <item x="52"/>
        <item x="89"/>
        <item x="100"/>
        <item x="97"/>
        <item x="68"/>
        <item x="17"/>
        <item x="36"/>
        <item x="95"/>
        <item x="25"/>
        <item x="71"/>
        <item x="21"/>
        <item x="58"/>
        <item x="73"/>
        <item x="53"/>
        <item x="24"/>
        <item x="33"/>
        <item x="14"/>
        <item x="10"/>
        <item x="92"/>
        <item x="1"/>
        <item x="46"/>
        <item x="66"/>
        <item x="13"/>
        <item x="70"/>
        <item x="3"/>
        <item x="62"/>
        <item x="99"/>
        <item x="76"/>
        <item x="40"/>
        <item x="81"/>
        <item x="15"/>
        <item x="29"/>
        <item x="38"/>
        <item x="94"/>
        <item x="88"/>
        <item x="84"/>
        <item x="23"/>
        <item x="9"/>
        <item x="85"/>
        <item x="5"/>
        <item x="83"/>
        <item x="50"/>
        <item x="4"/>
        <item x="87"/>
        <item x="63"/>
        <item x="8"/>
        <item x="42"/>
        <item x="79"/>
        <item x="104"/>
        <item x="51"/>
        <item x="2"/>
        <item x="12"/>
        <item x="72"/>
        <item x="35"/>
        <item x="32"/>
        <item x="61"/>
        <item x="59"/>
        <item x="19"/>
        <item x="31"/>
        <item x="74"/>
        <item x="34"/>
        <item x="44"/>
        <item x="56"/>
        <item x="98"/>
        <item x="30"/>
        <item x="102"/>
        <item x="16"/>
        <item x="49"/>
        <item x="103"/>
        <item x="39"/>
        <item x="86"/>
        <item x="78"/>
        <item x="45"/>
        <item x="93"/>
        <item x="65"/>
        <item x="47"/>
        <item x="22"/>
        <item x="90"/>
        <item x="37"/>
        <item t="default"/>
      </items>
    </pivotField>
    <pivotField compact="0" numFmtId="3" outline="0" showAll="0"/>
    <pivotField compact="0" numFmtId="165" outline="0" showAll="0"/>
    <pivotField compact="0" numFmtId="166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23"/>
    </i>
    <i>
      <x v="34"/>
    </i>
    <i>
      <x v="39"/>
    </i>
    <i>
      <x v="40"/>
    </i>
    <i>
      <x v="47"/>
    </i>
    <i>
      <x v="55"/>
    </i>
    <i>
      <x v="66"/>
    </i>
    <i>
      <x v="83"/>
    </i>
    <i>
      <x v="84"/>
    </i>
    <i>
      <x v="88"/>
    </i>
    <i t="grand">
      <x/>
    </i>
  </rowItems>
  <colItems count="1">
    <i/>
  </colItems>
  <dataFields count="1">
    <dataField name="Sum of Total_Sales_INR" fld="7" baseField="0" baseItem="0" numFmtId="165"/>
  </dataFields>
  <formats count="8">
    <format dxfId="11">
      <pivotArea dataOnly="0" labelOnly="1" grandRow="1" outline="0" fieldPosition="0"/>
    </format>
    <format dxfId="12">
      <pivotArea grandRow="1" outline="0" collapsedLevelsAreSubtotals="1" fieldPosition="0"/>
    </format>
    <format dxfId="13">
      <pivotArea field="3" type="button" dataOnly="0" labelOnly="1" outline="0" axis="axisRow" fieldPosition="0"/>
    </format>
    <format dxfId="14">
      <pivotArea dataOnly="0" labelOnly="1" outline="0" axis="axisValues" fieldPosition="0"/>
    </format>
    <format dxfId="15">
      <pivotArea field="3" type="button" dataOnly="0" labelOnly="1" outline="0" axis="axisRow" fieldPosition="0"/>
    </format>
    <format dxfId="16">
      <pivotArea dataOnly="0" labelOnly="1" outline="0" axis="axisValues" fieldPosition="0"/>
    </format>
    <format dxfId="17">
      <pivotArea dataOnly="0" labelOnly="1" grandRow="1" outline="0" fieldPosition="0"/>
    </format>
    <format dxfId="18">
      <pivotArea grandRow="1"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0A058-2A9A-447F-B998-A4448FB04B9F}" name="PivotTable4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dataField="1"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numFmtId="164" outline="0" showAll="0"/>
    <pivotField compact="0" outline="0" showAll="0"/>
    <pivotField compact="0" outline="0" showAll="0"/>
    <pivotField compact="0" numFmtId="3" outline="0" showAll="0"/>
    <pivotField compact="0" numFmtId="165" outline="0" showAll="0"/>
    <pivotField compact="0" numFmtId="166" outline="0" showAll="0"/>
    <pivotField compact="0" numFmtId="165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2"/>
        <item x="0"/>
        <item x="4"/>
        <item x="1"/>
        <item x="3"/>
        <item t="default"/>
      </items>
    </pivotField>
    <pivotField compact="0" outline="0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7">
    <format dxfId="4">
      <pivotArea field="11" type="button" dataOnly="0" labelOnly="1" outline="0" axis="axisRow" fieldPosition="0"/>
    </format>
    <format dxfId="5">
      <pivotArea field="11" type="button" dataOnly="0" labelOnly="1" outline="0" axis="axisRow" fieldPosition="0"/>
    </format>
    <format dxfId="6">
      <pivotArea dataOnly="0" labelOnly="1" grandRow="1" outline="0" fieldPosition="0"/>
    </format>
    <format dxfId="7">
      <pivotArea dataOnly="0" labelOnly="1" grandRow="1" outline="0" fieldPosition="0"/>
    </format>
    <format dxfId="8">
      <pivotArea dataOnly="0" labelOnly="1" outline="0" axis="axisValues" fieldPosition="0"/>
    </format>
    <format dxfId="9">
      <pivotArea dataOnly="0" labelOnly="1" outline="0" axis="axisValues" fieldPosition="0"/>
    </format>
    <format dxfId="10">
      <pivotArea grandRow="1" outline="0" collapsedLevelsAreSubtotals="1" fieldPosition="0"/>
    </format>
  </format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A298A-F7F6-4D79-BB78-A18750D994A7}" name="PivotTable1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13">
    <pivotField compact="0" outline="0" showAll="0"/>
    <pivotField compact="0" numFmtId="164" outline="0" showAll="0"/>
    <pivotField compact="0" outline="0" showAll="0"/>
    <pivotField axis="axisRow" compact="0" outline="0" showAll="0">
      <items count="107">
        <item x="20"/>
        <item x="75"/>
        <item x="91"/>
        <item x="27"/>
        <item x="26"/>
        <item x="77"/>
        <item x="57"/>
        <item x="11"/>
        <item x="82"/>
        <item x="7"/>
        <item x="48"/>
        <item x="55"/>
        <item x="0"/>
        <item x="60"/>
        <item x="6"/>
        <item x="96"/>
        <item x="28"/>
        <item x="67"/>
        <item x="101"/>
        <item x="69"/>
        <item x="80"/>
        <item x="41"/>
        <item x="64"/>
        <item x="43"/>
        <item x="54"/>
        <item x="105"/>
        <item x="18"/>
        <item x="52"/>
        <item x="89"/>
        <item x="100"/>
        <item x="97"/>
        <item x="68"/>
        <item x="17"/>
        <item x="36"/>
        <item x="95"/>
        <item x="25"/>
        <item x="71"/>
        <item x="21"/>
        <item x="58"/>
        <item x="73"/>
        <item x="53"/>
        <item x="24"/>
        <item x="33"/>
        <item x="14"/>
        <item x="10"/>
        <item x="92"/>
        <item x="1"/>
        <item x="46"/>
        <item x="66"/>
        <item x="13"/>
        <item x="70"/>
        <item x="3"/>
        <item x="62"/>
        <item x="99"/>
        <item x="76"/>
        <item x="40"/>
        <item x="81"/>
        <item x="15"/>
        <item x="29"/>
        <item x="38"/>
        <item x="94"/>
        <item x="88"/>
        <item x="84"/>
        <item x="23"/>
        <item x="9"/>
        <item x="85"/>
        <item x="5"/>
        <item x="83"/>
        <item x="50"/>
        <item x="4"/>
        <item x="87"/>
        <item x="63"/>
        <item x="8"/>
        <item x="42"/>
        <item x="79"/>
        <item x="104"/>
        <item x="51"/>
        <item x="2"/>
        <item x="12"/>
        <item x="72"/>
        <item x="35"/>
        <item x="32"/>
        <item x="61"/>
        <item x="59"/>
        <item x="19"/>
        <item x="31"/>
        <item x="74"/>
        <item x="34"/>
        <item x="44"/>
        <item x="56"/>
        <item x="98"/>
        <item x="30"/>
        <item x="102"/>
        <item x="16"/>
        <item x="49"/>
        <item x="103"/>
        <item x="39"/>
        <item x="86"/>
        <item x="78"/>
        <item x="45"/>
        <item x="93"/>
        <item x="65"/>
        <item x="47"/>
        <item x="22"/>
        <item x="90"/>
        <item x="37"/>
        <item t="default"/>
      </items>
    </pivotField>
    <pivotField compact="0" numFmtId="3" outline="0" showAll="0"/>
    <pivotField compact="0" numFmtId="165" outline="0" showAll="0"/>
    <pivotField compact="0" numFmtId="166" outline="0" showAll="0"/>
    <pivotField compact="0" numFmtId="165" outline="0" showAll="0"/>
    <pivotField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>
      <items count="6">
        <item x="2"/>
        <item h="1" x="0"/>
        <item h="1" x="4"/>
        <item h="1" x="1"/>
        <item h="1" x="3"/>
        <item t="default"/>
      </items>
    </pivotField>
    <pivotField compact="0" outline="0" showAll="0"/>
  </pivotFields>
  <rowFields count="1">
    <field x="3"/>
  </rowFields>
  <rowItems count="6">
    <i>
      <x v="29"/>
    </i>
    <i>
      <x v="31"/>
    </i>
    <i>
      <x v="78"/>
    </i>
    <i>
      <x v="96"/>
    </i>
    <i>
      <x v="97"/>
    </i>
    <i t="grand">
      <x/>
    </i>
  </rowItems>
  <colItems count="1">
    <i/>
  </colItems>
  <dataFields count="1">
    <dataField name="Count of Profit_INR" fld="8" subtotal="count" baseField="0" baseItem="0"/>
  </dataFields>
  <formats count="4">
    <format dxfId="0">
      <pivotArea field="3" type="button" dataOnly="0" labelOnly="1" outline="0" axis="axisRow" fieldPosition="0"/>
    </format>
    <format dxfId="1">
      <pivotArea dataOnly="0" labelOnly="1" outline="0" axis="axisValues" fieldPosition="0"/>
    </format>
    <format dxfId="2">
      <pivotArea dataOnly="0" labelOnly="1" grandRow="1" outline="0" fieldPosition="0"/>
    </format>
    <format dxfId="3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Status" xr10:uid="{8629ABE1-67D6-424E-960C-398535E45C5A}" sourceName="Order_Status">
  <pivotTables>
    <pivotTable tabId="9" name="PivotTable1"/>
  </pivotTables>
  <data>
    <tabular pivotCacheId="1727537290">
      <items count="5">
        <i x="2" s="1"/>
        <i x="0"/>
        <i x="4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_Status" xr10:uid="{ECCCAA11-04D8-47C2-AC53-7B7FEE6C9E71}" cache="Slicer_Order_Status" caption="Order_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501">
  <autoFilter ref="A1:M501" xr:uid="{00000000-000C-0000-FFFF-FFFF00000000}">
    <filterColumn colId="0" hiddenButton="1"/>
  </autoFilter>
  <tableColumns count="13">
    <tableColumn id="1" xr3:uid="{00000000-0010-0000-0000-000001000000}" name="Order_ID"/>
    <tableColumn id="2" xr3:uid="{00000000-0010-0000-0000-000002000000}" name="Order_Date"/>
    <tableColumn id="3" xr3:uid="{00000000-0010-0000-0000-000003000000}" name="Category"/>
    <tableColumn id="4" xr3:uid="{00000000-0010-0000-0000-000004000000}" name="Product"/>
    <tableColumn id="5" xr3:uid="{00000000-0010-0000-0000-000005000000}" name="Quantity"/>
    <tableColumn id="6" xr3:uid="{00000000-0010-0000-0000-000006000000}" name="Unit_Price_INR"/>
    <tableColumn id="7" xr3:uid="{00000000-0010-0000-0000-000007000000}" name="Discount_Pct"/>
    <tableColumn id="8" xr3:uid="{00000000-0010-0000-0000-000008000000}" name="Total_Sales_INR"/>
    <tableColumn id="9" xr3:uid="{00000000-0010-0000-0000-000009000000}" name="Profit_INR"/>
    <tableColumn id="10" xr3:uid="{00000000-0010-0000-0000-00000A000000}" name="Payment_Method"/>
    <tableColumn id="11" xr3:uid="{00000000-0010-0000-0000-00000B000000}" name="Fulfillment"/>
    <tableColumn id="12" xr3:uid="{00000000-0010-0000-0000-00000C000000}" name="Order_Status"/>
    <tableColumn id="13" xr3:uid="{00000000-0010-0000-0000-00000D000000}" name="Ship_Stat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8AB-1255-477A-B95B-A3CCE2F82AA4}">
  <dimension ref="A3:B10"/>
  <sheetViews>
    <sheetView workbookViewId="0">
      <selection activeCell="B10" sqref="B10"/>
    </sheetView>
  </sheetViews>
  <sheetFormatPr defaultRowHeight="12.75"/>
  <cols>
    <col min="1" max="1" width="21.28515625" bestFit="1" customWidth="1"/>
    <col min="2" max="2" width="22" bestFit="1" customWidth="1"/>
    <col min="3" max="3" width="18.7109375" bestFit="1" customWidth="1"/>
    <col min="4" max="5" width="11.42578125" bestFit="1" customWidth="1"/>
    <col min="6" max="6" width="14.7109375" bestFit="1" customWidth="1"/>
    <col min="7" max="7" width="14.85546875" bestFit="1" customWidth="1"/>
    <col min="8" max="8" width="13" bestFit="1" customWidth="1"/>
  </cols>
  <sheetData>
    <row r="3" spans="1:2" ht="15">
      <c r="A3" s="41" t="s">
        <v>0</v>
      </c>
      <c r="B3" s="42" t="s">
        <v>1</v>
      </c>
    </row>
    <row r="4" spans="1:2">
      <c r="A4" s="35" t="s">
        <v>2</v>
      </c>
      <c r="B4" s="36">
        <v>81717.17</v>
      </c>
    </row>
    <row r="5" spans="1:2">
      <c r="A5" s="37" t="s">
        <v>3</v>
      </c>
      <c r="B5" s="38">
        <v>135444.9599999999</v>
      </c>
    </row>
    <row r="6" spans="1:2">
      <c r="A6" s="37" t="s">
        <v>4</v>
      </c>
      <c r="B6" s="38">
        <v>138785.41</v>
      </c>
    </row>
    <row r="7" spans="1:2">
      <c r="A7" s="37" t="s">
        <v>5</v>
      </c>
      <c r="B7" s="38">
        <v>220490.66</v>
      </c>
    </row>
    <row r="8" spans="1:2">
      <c r="A8" s="37" t="s">
        <v>6</v>
      </c>
      <c r="B8" s="38">
        <v>760481.59000000008</v>
      </c>
    </row>
    <row r="9" spans="1:2">
      <c r="A9" s="37" t="s">
        <v>7</v>
      </c>
      <c r="B9" s="38">
        <v>828543.62000000034</v>
      </c>
    </row>
    <row r="10" spans="1:2" ht="15">
      <c r="A10" s="43" t="s">
        <v>8</v>
      </c>
      <c r="B10" s="44">
        <v>2165463.41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ADD9-627F-4D52-A86E-29546E96B8F1}">
  <dimension ref="A3:B16"/>
  <sheetViews>
    <sheetView workbookViewId="0">
      <selection activeCell="A3" sqref="A3"/>
    </sheetView>
  </sheetViews>
  <sheetFormatPr defaultRowHeight="12.75"/>
  <cols>
    <col min="1" max="3" width="21.28515625" bestFit="1" customWidth="1"/>
  </cols>
  <sheetData>
    <row r="3" spans="1:2" ht="15">
      <c r="A3" s="41" t="s">
        <v>0</v>
      </c>
      <c r="B3" s="42" t="s">
        <v>9</v>
      </c>
    </row>
    <row r="4" spans="1:2">
      <c r="A4" s="35" t="s">
        <v>7</v>
      </c>
      <c r="B4" s="39">
        <v>82</v>
      </c>
    </row>
    <row r="5" spans="1:2">
      <c r="A5" s="37" t="s">
        <v>2</v>
      </c>
      <c r="B5" s="40">
        <v>83</v>
      </c>
    </row>
    <row r="6" spans="1:2">
      <c r="A6" s="37" t="s">
        <v>6</v>
      </c>
      <c r="B6" s="40">
        <v>89</v>
      </c>
    </row>
    <row r="7" spans="1:2">
      <c r="A7" s="37" t="s">
        <v>4</v>
      </c>
      <c r="B7" s="40">
        <v>83</v>
      </c>
    </row>
    <row r="8" spans="1:2">
      <c r="A8" s="37" t="s">
        <v>3</v>
      </c>
      <c r="B8" s="40">
        <v>83</v>
      </c>
    </row>
    <row r="9" spans="1:2">
      <c r="A9" s="37" t="s">
        <v>5</v>
      </c>
      <c r="B9" s="40">
        <v>80</v>
      </c>
    </row>
    <row r="10" spans="1:2" ht="15">
      <c r="A10" s="43" t="s">
        <v>8</v>
      </c>
      <c r="B10" s="46">
        <v>500</v>
      </c>
    </row>
    <row r="16" spans="1:2" ht="15">
      <c r="A16" s="34"/>
      <c r="B16" s="34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DC03-043A-40E4-B041-6006FE913F5F}">
  <dimension ref="A3:B14"/>
  <sheetViews>
    <sheetView workbookViewId="0">
      <selection activeCell="B14" sqref="B14"/>
    </sheetView>
  </sheetViews>
  <sheetFormatPr defaultRowHeight="12.75"/>
  <cols>
    <col min="1" max="1" width="52.42578125" bestFit="1" customWidth="1"/>
    <col min="2" max="2" width="22" bestFit="1" customWidth="1"/>
  </cols>
  <sheetData>
    <row r="3" spans="1:2" ht="15">
      <c r="A3" s="41" t="s">
        <v>10</v>
      </c>
      <c r="B3" s="42" t="s">
        <v>1</v>
      </c>
    </row>
    <row r="4" spans="1:2">
      <c r="A4" s="35" t="s">
        <v>11</v>
      </c>
      <c r="B4" s="36">
        <v>113061</v>
      </c>
    </row>
    <row r="5" spans="1:2">
      <c r="A5" s="37" t="s">
        <v>12</v>
      </c>
      <c r="B5" s="38">
        <v>107486.39999999999</v>
      </c>
    </row>
    <row r="6" spans="1:2">
      <c r="A6" s="37" t="s">
        <v>13</v>
      </c>
      <c r="B6" s="38">
        <v>139803.20000000001</v>
      </c>
    </row>
    <row r="7" spans="1:2">
      <c r="A7" s="37" t="s">
        <v>14</v>
      </c>
      <c r="B7" s="38">
        <v>101957.5</v>
      </c>
    </row>
    <row r="8" spans="1:2">
      <c r="A8" s="37" t="s">
        <v>15</v>
      </c>
      <c r="B8" s="38">
        <v>116832.5</v>
      </c>
    </row>
    <row r="9" spans="1:2">
      <c r="A9" s="37" t="s">
        <v>16</v>
      </c>
      <c r="B9" s="38">
        <v>79996.800000000003</v>
      </c>
    </row>
    <row r="10" spans="1:2">
      <c r="A10" s="37" t="s">
        <v>17</v>
      </c>
      <c r="B10" s="38">
        <v>91995.400000000009</v>
      </c>
    </row>
    <row r="11" spans="1:2">
      <c r="A11" s="37" t="s">
        <v>18</v>
      </c>
      <c r="B11" s="38">
        <v>107756</v>
      </c>
    </row>
    <row r="12" spans="1:2">
      <c r="A12" s="37" t="s">
        <v>19</v>
      </c>
      <c r="B12" s="38">
        <v>72245.75</v>
      </c>
    </row>
    <row r="13" spans="1:2">
      <c r="A13" s="37" t="s">
        <v>20</v>
      </c>
      <c r="B13" s="38">
        <v>134955</v>
      </c>
    </row>
    <row r="14" spans="1:2" ht="15">
      <c r="A14" s="43" t="s">
        <v>8</v>
      </c>
      <c r="B14" s="44">
        <v>1066089.55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A2A5-239B-4124-A225-AA7C2B506CFC}">
  <dimension ref="A3:H509"/>
  <sheetViews>
    <sheetView workbookViewId="0">
      <selection activeCell="C22" sqref="C22:H24"/>
    </sheetView>
  </sheetViews>
  <sheetFormatPr defaultRowHeight="12.75"/>
  <cols>
    <col min="1" max="1" width="17.85546875" bestFit="1" customWidth="1"/>
    <col min="2" max="3" width="16.42578125" bestFit="1" customWidth="1"/>
  </cols>
  <sheetData>
    <row r="3" spans="1:2" ht="15">
      <c r="A3" s="41" t="s">
        <v>21</v>
      </c>
      <c r="B3" s="42" t="s">
        <v>22</v>
      </c>
    </row>
    <row r="4" spans="1:2">
      <c r="A4" s="35" t="s">
        <v>23</v>
      </c>
      <c r="B4" s="39">
        <v>15</v>
      </c>
    </row>
    <row r="5" spans="1:2">
      <c r="A5" s="37" t="s">
        <v>24</v>
      </c>
      <c r="B5" s="40">
        <v>438</v>
      </c>
    </row>
    <row r="6" spans="1:2">
      <c r="A6" s="37" t="s">
        <v>25</v>
      </c>
      <c r="B6" s="40">
        <v>14</v>
      </c>
    </row>
    <row r="7" spans="1:2">
      <c r="A7" s="37" t="s">
        <v>26</v>
      </c>
      <c r="B7" s="40">
        <v>25</v>
      </c>
    </row>
    <row r="8" spans="1:2">
      <c r="A8" s="37" t="s">
        <v>27</v>
      </c>
      <c r="B8" s="40">
        <v>8</v>
      </c>
    </row>
    <row r="9" spans="1:2" ht="15">
      <c r="A9" s="43" t="s">
        <v>8</v>
      </c>
      <c r="B9" s="45">
        <v>500</v>
      </c>
    </row>
    <row r="22" spans="3:8">
      <c r="C22" s="48" t="s">
        <v>28</v>
      </c>
      <c r="D22" s="48"/>
      <c r="E22" s="48"/>
      <c r="F22" s="48"/>
      <c r="G22" s="48"/>
      <c r="H22" s="48"/>
    </row>
    <row r="23" spans="3:8">
      <c r="C23" s="48"/>
      <c r="D23" s="48"/>
      <c r="E23" s="48"/>
      <c r="F23" s="48"/>
      <c r="G23" s="48"/>
      <c r="H23" s="48"/>
    </row>
    <row r="24" spans="3:8">
      <c r="C24" s="48"/>
      <c r="D24" s="48"/>
      <c r="E24" s="48"/>
      <c r="F24" s="48"/>
      <c r="G24" s="48"/>
      <c r="H24" s="48"/>
    </row>
    <row r="509" ht="15"/>
  </sheetData>
  <mergeCells count="1">
    <mergeCell ref="C22:H24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A593-EE2F-4CF7-B00F-C2126ADA902D}">
  <dimension ref="A1:M43"/>
  <sheetViews>
    <sheetView tabSelected="1" topLeftCell="A20" workbookViewId="0">
      <selection activeCell="A29" sqref="A29:M43"/>
    </sheetView>
  </sheetViews>
  <sheetFormatPr defaultRowHeight="12.75"/>
  <sheetData>
    <row r="1" spans="1:13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13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3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</row>
    <row r="6" spans="1:13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3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3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3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1:13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1:13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3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spans="1:13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1:13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</row>
    <row r="18" spans="1:13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  <row r="19" spans="1:13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</row>
    <row r="20" spans="1:13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 spans="1:13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2" spans="1:13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 spans="1:1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spans="1:1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</row>
    <row r="25" spans="1:13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spans="1:13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1:13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</row>
    <row r="29" spans="1:13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</row>
    <row r="30" spans="1:13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1:13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spans="1:1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</row>
  </sheetData>
  <mergeCells count="2">
    <mergeCell ref="A29:M43"/>
    <mergeCell ref="A27:M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105A-80BD-4FCF-B175-3EDCDAC6045D}">
  <dimension ref="A3:C216"/>
  <sheetViews>
    <sheetView workbookViewId="0">
      <selection activeCell="B108" sqref="B108"/>
    </sheetView>
  </sheetViews>
  <sheetFormatPr defaultRowHeight="12.75"/>
  <cols>
    <col min="1" max="1" width="38.42578125" bestFit="1" customWidth="1"/>
    <col min="2" max="2" width="18.7109375" bestFit="1" customWidth="1"/>
    <col min="3" max="3" width="17.5703125" bestFit="1" customWidth="1"/>
  </cols>
  <sheetData>
    <row r="3" spans="1:3">
      <c r="A3" s="64" t="s">
        <v>10</v>
      </c>
      <c r="B3" s="65" t="s">
        <v>9</v>
      </c>
      <c r="C3" s="34"/>
    </row>
    <row r="4" spans="1:3">
      <c r="A4" s="35" t="s">
        <v>29</v>
      </c>
      <c r="B4" s="39">
        <v>1</v>
      </c>
      <c r="C4" s="34"/>
    </row>
    <row r="5" spans="1:3">
      <c r="A5" s="37" t="s">
        <v>30</v>
      </c>
      <c r="B5" s="40">
        <v>3</v>
      </c>
      <c r="C5" s="34"/>
    </row>
    <row r="6" spans="1:3">
      <c r="A6" s="37" t="s">
        <v>31</v>
      </c>
      <c r="B6" s="40">
        <v>5</v>
      </c>
      <c r="C6" s="34"/>
    </row>
    <row r="7" spans="1:3">
      <c r="A7" s="37" t="s">
        <v>32</v>
      </c>
      <c r="B7" s="40">
        <v>4</v>
      </c>
      <c r="C7" s="34"/>
    </row>
    <row r="8" spans="1:3">
      <c r="A8" s="37" t="s">
        <v>33</v>
      </c>
      <c r="B8" s="40">
        <v>2</v>
      </c>
      <c r="C8" s="34"/>
    </row>
    <row r="9" spans="1:3">
      <c r="A9" s="66" t="s">
        <v>8</v>
      </c>
      <c r="B9" s="45">
        <v>15</v>
      </c>
      <c r="C9" s="34"/>
    </row>
    <row r="10" spans="1:3">
      <c r="A10" s="34"/>
      <c r="B10" s="34"/>
      <c r="C10" s="34"/>
    </row>
    <row r="11" spans="1:3">
      <c r="A11" s="34"/>
      <c r="B11" s="34"/>
      <c r="C11" s="34"/>
    </row>
    <row r="12" spans="1:3">
      <c r="A12" s="34"/>
      <c r="B12" s="34"/>
      <c r="C12" s="34"/>
    </row>
    <row r="13" spans="1:3">
      <c r="A13" s="34"/>
      <c r="B13" s="34"/>
      <c r="C13" s="34"/>
    </row>
    <row r="14" spans="1:3">
      <c r="A14" s="34"/>
      <c r="B14" s="34"/>
      <c r="C14" s="34"/>
    </row>
    <row r="15" spans="1:3">
      <c r="A15" s="34"/>
      <c r="B15" s="34"/>
      <c r="C15" s="34"/>
    </row>
    <row r="16" spans="1:3">
      <c r="A16" s="34"/>
      <c r="B16" s="34"/>
      <c r="C16" s="34"/>
    </row>
    <row r="17" spans="1:3">
      <c r="A17" s="34"/>
      <c r="B17" s="34"/>
      <c r="C17" s="34"/>
    </row>
    <row r="18" spans="1:3">
      <c r="A18" s="34"/>
      <c r="B18" s="34"/>
      <c r="C18" s="34"/>
    </row>
    <row r="19" spans="1:3">
      <c r="A19" s="34"/>
      <c r="B19" s="34"/>
      <c r="C19" s="34"/>
    </row>
    <row r="20" spans="1:3">
      <c r="A20" s="34"/>
      <c r="B20" s="34"/>
      <c r="C20" s="34"/>
    </row>
    <row r="21" spans="1:3">
      <c r="A21" s="34"/>
      <c r="B21" s="34"/>
      <c r="C21" s="34"/>
    </row>
    <row r="22" spans="1:3">
      <c r="A22" s="34"/>
      <c r="B22" s="34"/>
      <c r="C22" s="34"/>
    </row>
    <row r="23" spans="1:3">
      <c r="A23" s="34"/>
      <c r="B23" s="34"/>
      <c r="C23" s="34"/>
    </row>
    <row r="24" spans="1:3">
      <c r="A24" s="34"/>
      <c r="B24" s="34"/>
      <c r="C24" s="34"/>
    </row>
    <row r="25" spans="1:3">
      <c r="A25" s="34"/>
      <c r="B25" s="34"/>
      <c r="C25" s="34"/>
    </row>
    <row r="26" spans="1:3">
      <c r="A26" s="34"/>
      <c r="B26" s="34"/>
      <c r="C26" s="34"/>
    </row>
    <row r="27" spans="1:3">
      <c r="A27" s="34"/>
      <c r="B27" s="34"/>
      <c r="C27" s="34"/>
    </row>
    <row r="28" spans="1:3">
      <c r="A28" s="34"/>
      <c r="B28" s="34"/>
      <c r="C28" s="34"/>
    </row>
    <row r="29" spans="1:3">
      <c r="A29" s="34"/>
      <c r="B29" s="34"/>
      <c r="C29" s="34"/>
    </row>
    <row r="30" spans="1:3">
      <c r="A30" s="34"/>
      <c r="B30" s="34"/>
      <c r="C30" s="34"/>
    </row>
    <row r="31" spans="1:3">
      <c r="A31" s="34"/>
      <c r="B31" s="34"/>
      <c r="C31" s="34"/>
    </row>
    <row r="32" spans="1:3">
      <c r="A32" s="34"/>
      <c r="B32" s="34"/>
      <c r="C32" s="34"/>
    </row>
    <row r="33" spans="1:3">
      <c r="A33" s="34"/>
      <c r="B33" s="34"/>
      <c r="C33" s="34"/>
    </row>
    <row r="34" spans="1:3">
      <c r="A34" s="34"/>
      <c r="B34" s="34"/>
      <c r="C34" s="34"/>
    </row>
    <row r="35" spans="1:3">
      <c r="A35" s="34"/>
      <c r="B35" s="34"/>
      <c r="C35" s="34"/>
    </row>
    <row r="36" spans="1:3">
      <c r="A36" s="34"/>
      <c r="B36" s="34"/>
      <c r="C36" s="34"/>
    </row>
    <row r="37" spans="1:3">
      <c r="A37" s="34"/>
      <c r="B37" s="34"/>
      <c r="C37" s="34"/>
    </row>
    <row r="38" spans="1:3">
      <c r="A38" s="34"/>
      <c r="B38" s="34"/>
      <c r="C38" s="34"/>
    </row>
    <row r="39" spans="1:3">
      <c r="A39" s="34"/>
      <c r="B39" s="34"/>
      <c r="C39" s="34"/>
    </row>
    <row r="40" spans="1:3">
      <c r="A40" s="34"/>
      <c r="B40" s="34"/>
      <c r="C40" s="34"/>
    </row>
    <row r="41" spans="1:3">
      <c r="A41" s="34"/>
      <c r="B41" s="34"/>
      <c r="C41" s="34"/>
    </row>
    <row r="42" spans="1:3">
      <c r="A42" s="34"/>
      <c r="B42" s="34"/>
      <c r="C42" s="34"/>
    </row>
    <row r="43" spans="1:3">
      <c r="A43" s="34"/>
      <c r="B43" s="34"/>
      <c r="C43" s="34"/>
    </row>
    <row r="44" spans="1:3">
      <c r="A44" s="34"/>
      <c r="B44" s="34"/>
      <c r="C44" s="34"/>
    </row>
    <row r="45" spans="1:3">
      <c r="A45" s="34"/>
      <c r="B45" s="34"/>
      <c r="C45" s="34"/>
    </row>
    <row r="46" spans="1:3">
      <c r="A46" s="34"/>
      <c r="B46" s="34"/>
      <c r="C46" s="34"/>
    </row>
    <row r="47" spans="1:3">
      <c r="A47" s="34"/>
      <c r="B47" s="34"/>
      <c r="C47" s="34"/>
    </row>
    <row r="48" spans="1:3">
      <c r="A48" s="34"/>
      <c r="B48" s="34"/>
      <c r="C48" s="34"/>
    </row>
    <row r="49" spans="1:3">
      <c r="A49" s="34"/>
      <c r="B49" s="34"/>
      <c r="C49" s="34"/>
    </row>
    <row r="50" spans="1:3">
      <c r="A50" s="34"/>
      <c r="B50" s="34"/>
      <c r="C50" s="34"/>
    </row>
    <row r="51" spans="1:3">
      <c r="A51" s="34"/>
      <c r="B51" s="34"/>
      <c r="C51" s="34"/>
    </row>
    <row r="52" spans="1:3">
      <c r="A52" s="34"/>
      <c r="B52" s="34"/>
      <c r="C52" s="34"/>
    </row>
    <row r="53" spans="1:3">
      <c r="A53" s="34"/>
      <c r="B53" s="34"/>
      <c r="C53" s="34"/>
    </row>
    <row r="54" spans="1:3">
      <c r="A54" s="34"/>
      <c r="B54" s="34"/>
      <c r="C54" s="34"/>
    </row>
    <row r="55" spans="1:3">
      <c r="A55" s="34"/>
      <c r="B55" s="34"/>
      <c r="C55" s="34"/>
    </row>
    <row r="56" spans="1:3">
      <c r="A56" s="34"/>
      <c r="B56" s="34"/>
      <c r="C56" s="34"/>
    </row>
    <row r="57" spans="1:3">
      <c r="A57" s="34"/>
      <c r="B57" s="34"/>
      <c r="C57" s="34"/>
    </row>
    <row r="58" spans="1:3">
      <c r="A58" s="34"/>
      <c r="B58" s="34"/>
      <c r="C58" s="34"/>
    </row>
    <row r="59" spans="1:3">
      <c r="A59" s="34"/>
      <c r="B59" s="34"/>
      <c r="C59" s="34"/>
    </row>
    <row r="60" spans="1:3">
      <c r="A60" s="34"/>
      <c r="B60" s="34"/>
      <c r="C60" s="34"/>
    </row>
    <row r="61" spans="1:3">
      <c r="A61" s="34"/>
      <c r="B61" s="34"/>
      <c r="C61" s="34"/>
    </row>
    <row r="62" spans="1:3">
      <c r="A62" s="34"/>
      <c r="B62" s="34"/>
      <c r="C62" s="34"/>
    </row>
    <row r="63" spans="1:3">
      <c r="A63" s="34"/>
      <c r="B63" s="34"/>
      <c r="C63" s="34"/>
    </row>
    <row r="64" spans="1:3">
      <c r="A64" s="34"/>
      <c r="B64" s="34"/>
      <c r="C64" s="34"/>
    </row>
    <row r="65" spans="1:3">
      <c r="A65" s="34"/>
      <c r="B65" s="34"/>
      <c r="C65" s="34"/>
    </row>
    <row r="66" spans="1:3">
      <c r="A66" s="34"/>
      <c r="B66" s="34"/>
      <c r="C66" s="34"/>
    </row>
    <row r="67" spans="1:3">
      <c r="A67" s="34"/>
      <c r="B67" s="34"/>
      <c r="C67" s="34"/>
    </row>
    <row r="68" spans="1:3">
      <c r="A68" s="34"/>
      <c r="B68" s="34"/>
      <c r="C68" s="34"/>
    </row>
    <row r="69" spans="1:3">
      <c r="A69" s="34"/>
      <c r="B69" s="34"/>
      <c r="C69" s="34"/>
    </row>
    <row r="70" spans="1:3">
      <c r="A70" s="34"/>
      <c r="B70" s="34"/>
      <c r="C70" s="34"/>
    </row>
    <row r="71" spans="1:3">
      <c r="A71" s="34"/>
      <c r="B71" s="34"/>
      <c r="C71" s="34"/>
    </row>
    <row r="72" spans="1:3">
      <c r="A72" s="34"/>
      <c r="B72" s="34"/>
      <c r="C72" s="34"/>
    </row>
    <row r="73" spans="1:3">
      <c r="A73" s="34"/>
      <c r="B73" s="34"/>
      <c r="C73" s="34"/>
    </row>
    <row r="74" spans="1:3">
      <c r="A74" s="34"/>
      <c r="B74" s="34"/>
      <c r="C74" s="34"/>
    </row>
    <row r="75" spans="1:3">
      <c r="A75" s="34"/>
      <c r="B75" s="34"/>
      <c r="C75" s="34"/>
    </row>
    <row r="76" spans="1:3">
      <c r="A76" s="34"/>
      <c r="B76" s="34"/>
      <c r="C76" s="34"/>
    </row>
    <row r="77" spans="1:3">
      <c r="A77" s="34"/>
      <c r="B77" s="34"/>
      <c r="C77" s="34"/>
    </row>
    <row r="78" spans="1:3">
      <c r="A78" s="34"/>
      <c r="B78" s="34"/>
      <c r="C78" s="34"/>
    </row>
    <row r="79" spans="1:3">
      <c r="A79" s="34"/>
      <c r="B79" s="34"/>
      <c r="C79" s="34"/>
    </row>
    <row r="80" spans="1:3">
      <c r="A80" s="34"/>
      <c r="B80" s="34"/>
      <c r="C80" s="34"/>
    </row>
    <row r="81" spans="1:3">
      <c r="A81" s="34"/>
      <c r="B81" s="34"/>
      <c r="C81" s="34"/>
    </row>
    <row r="82" spans="1:3">
      <c r="A82" s="34"/>
      <c r="B82" s="34"/>
      <c r="C82" s="34"/>
    </row>
    <row r="83" spans="1:3">
      <c r="A83" s="34"/>
      <c r="B83" s="34"/>
      <c r="C83" s="34"/>
    </row>
    <row r="84" spans="1:3">
      <c r="A84" s="34"/>
      <c r="B84" s="34"/>
      <c r="C84" s="34"/>
    </row>
    <row r="85" spans="1:3">
      <c r="A85" s="34"/>
      <c r="B85" s="34"/>
      <c r="C85" s="34"/>
    </row>
    <row r="86" spans="1:3">
      <c r="A86" s="34"/>
      <c r="B86" s="34"/>
      <c r="C86" s="34"/>
    </row>
    <row r="87" spans="1:3">
      <c r="A87" s="34"/>
      <c r="B87" s="34"/>
      <c r="C87" s="34"/>
    </row>
    <row r="88" spans="1:3">
      <c r="A88" s="34"/>
      <c r="B88" s="34"/>
      <c r="C88" s="34"/>
    </row>
    <row r="89" spans="1:3">
      <c r="A89" s="34"/>
      <c r="B89" s="34"/>
      <c r="C89" s="34"/>
    </row>
    <row r="90" spans="1:3">
      <c r="A90" s="34"/>
      <c r="B90" s="34"/>
      <c r="C90" s="34"/>
    </row>
    <row r="91" spans="1:3">
      <c r="A91" s="34"/>
      <c r="B91" s="34"/>
      <c r="C91" s="34"/>
    </row>
    <row r="92" spans="1:3">
      <c r="A92" s="34"/>
      <c r="B92" s="34"/>
      <c r="C92" s="34"/>
    </row>
    <row r="93" spans="1:3">
      <c r="A93" s="34"/>
      <c r="B93" s="34"/>
      <c r="C93" s="34"/>
    </row>
    <row r="94" spans="1:3">
      <c r="A94" s="34"/>
      <c r="B94" s="34"/>
      <c r="C94" s="34"/>
    </row>
    <row r="95" spans="1:3">
      <c r="A95" s="34"/>
      <c r="B95" s="34"/>
      <c r="C95" s="34"/>
    </row>
    <row r="96" spans="1:3">
      <c r="A96" s="34"/>
      <c r="B96" s="34"/>
      <c r="C96" s="34"/>
    </row>
    <row r="97" spans="1:3">
      <c r="A97" s="34"/>
      <c r="B97" s="34"/>
      <c r="C97" s="34"/>
    </row>
    <row r="98" spans="1:3">
      <c r="A98" s="34"/>
      <c r="B98" s="34"/>
      <c r="C98" s="34"/>
    </row>
    <row r="99" spans="1:3">
      <c r="A99" s="34"/>
      <c r="B99" s="34"/>
      <c r="C99" s="34"/>
    </row>
    <row r="100" spans="1:3">
      <c r="A100" s="34"/>
      <c r="B100" s="34"/>
      <c r="C100" s="34"/>
    </row>
    <row r="101" spans="1:3">
      <c r="A101" s="34"/>
      <c r="B101" s="34"/>
      <c r="C101" s="34"/>
    </row>
    <row r="102" spans="1:3">
      <c r="A102" s="34"/>
      <c r="B102" s="34"/>
      <c r="C102" s="34"/>
    </row>
    <row r="103" spans="1:3">
      <c r="A103" s="34"/>
      <c r="B103" s="34"/>
      <c r="C103" s="34"/>
    </row>
    <row r="104" spans="1:3">
      <c r="A104" s="34"/>
      <c r="B104" s="34"/>
      <c r="C104" s="34"/>
    </row>
    <row r="105" spans="1:3">
      <c r="A105" s="34"/>
      <c r="B105" s="34"/>
      <c r="C105" s="34"/>
    </row>
    <row r="106" spans="1:3">
      <c r="A106" s="34"/>
      <c r="B106" s="34"/>
      <c r="C106" s="34"/>
    </row>
    <row r="107" spans="1:3">
      <c r="A107" s="34"/>
      <c r="B107" s="34"/>
      <c r="C107" s="34"/>
    </row>
    <row r="108" spans="1:3">
      <c r="A108" s="34"/>
      <c r="B108" s="34"/>
      <c r="C108" s="34"/>
    </row>
    <row r="109" spans="1:3">
      <c r="A109" s="34"/>
      <c r="B109" s="34"/>
      <c r="C109" s="34"/>
    </row>
    <row r="110" spans="1:3">
      <c r="A110" s="34"/>
      <c r="B110" s="34"/>
      <c r="C110" s="34"/>
    </row>
    <row r="111" spans="1:3">
      <c r="A111" s="34"/>
      <c r="B111" s="34"/>
      <c r="C111" s="34"/>
    </row>
    <row r="112" spans="1:3">
      <c r="A112" s="34"/>
      <c r="B112" s="34"/>
      <c r="C112" s="34"/>
    </row>
    <row r="113" spans="1:3">
      <c r="A113" s="34"/>
      <c r="B113" s="34"/>
      <c r="C113" s="34"/>
    </row>
    <row r="114" spans="1:3">
      <c r="A114" s="34"/>
      <c r="B114" s="34"/>
      <c r="C114" s="34"/>
    </row>
    <row r="115" spans="1:3">
      <c r="A115" s="34"/>
      <c r="B115" s="34"/>
      <c r="C115" s="34"/>
    </row>
    <row r="116" spans="1:3">
      <c r="A116" s="34"/>
      <c r="B116" s="34"/>
      <c r="C116" s="34"/>
    </row>
    <row r="117" spans="1:3">
      <c r="A117" s="34"/>
      <c r="B117" s="34"/>
      <c r="C117" s="34"/>
    </row>
    <row r="118" spans="1:3">
      <c r="A118" s="34"/>
      <c r="B118" s="34"/>
      <c r="C118" s="34"/>
    </row>
    <row r="119" spans="1:3">
      <c r="A119" s="34"/>
      <c r="B119" s="34"/>
      <c r="C119" s="34"/>
    </row>
    <row r="120" spans="1:3">
      <c r="A120" s="34"/>
      <c r="B120" s="34"/>
      <c r="C120" s="34"/>
    </row>
    <row r="121" spans="1:3">
      <c r="A121" s="34"/>
      <c r="B121" s="34"/>
      <c r="C121" s="34"/>
    </row>
    <row r="122" spans="1:3">
      <c r="A122" s="34"/>
      <c r="B122" s="34"/>
      <c r="C122" s="34"/>
    </row>
    <row r="123" spans="1:3">
      <c r="A123" s="34"/>
      <c r="B123" s="34"/>
      <c r="C123" s="34"/>
    </row>
    <row r="124" spans="1:3">
      <c r="A124" s="34"/>
      <c r="B124" s="34"/>
      <c r="C124" s="34"/>
    </row>
    <row r="125" spans="1:3">
      <c r="A125" s="34"/>
      <c r="B125" s="34"/>
      <c r="C125" s="34"/>
    </row>
    <row r="126" spans="1:3">
      <c r="A126" s="34"/>
      <c r="B126" s="34"/>
      <c r="C126" s="34"/>
    </row>
    <row r="127" spans="1:3">
      <c r="A127" s="34"/>
      <c r="B127" s="34"/>
      <c r="C127" s="34"/>
    </row>
    <row r="128" spans="1:3">
      <c r="A128" s="34"/>
      <c r="B128" s="34"/>
      <c r="C128" s="34"/>
    </row>
    <row r="129" spans="1:3">
      <c r="A129" s="34"/>
      <c r="B129" s="34"/>
      <c r="C129" s="34"/>
    </row>
    <row r="130" spans="1:3">
      <c r="A130" s="34"/>
      <c r="B130" s="34"/>
      <c r="C130" s="34"/>
    </row>
    <row r="131" spans="1:3">
      <c r="A131" s="34"/>
      <c r="B131" s="34"/>
      <c r="C131" s="34"/>
    </row>
    <row r="132" spans="1:3">
      <c r="A132" s="34"/>
      <c r="B132" s="34"/>
      <c r="C132" s="34"/>
    </row>
    <row r="133" spans="1:3">
      <c r="A133" s="34"/>
      <c r="B133" s="34"/>
      <c r="C133" s="34"/>
    </row>
    <row r="134" spans="1:3">
      <c r="A134" s="34"/>
      <c r="B134" s="34"/>
      <c r="C134" s="34"/>
    </row>
    <row r="135" spans="1:3">
      <c r="A135" s="34"/>
      <c r="B135" s="34"/>
      <c r="C135" s="34"/>
    </row>
    <row r="136" spans="1:3">
      <c r="A136" s="34"/>
      <c r="B136" s="34"/>
      <c r="C136" s="34"/>
    </row>
    <row r="137" spans="1:3">
      <c r="A137" s="34"/>
      <c r="B137" s="34"/>
      <c r="C137" s="34"/>
    </row>
    <row r="138" spans="1:3">
      <c r="A138" s="34"/>
      <c r="B138" s="34"/>
      <c r="C138" s="34"/>
    </row>
    <row r="139" spans="1:3">
      <c r="A139" s="34"/>
      <c r="B139" s="34"/>
      <c r="C139" s="34"/>
    </row>
    <row r="140" spans="1:3">
      <c r="A140" s="34"/>
      <c r="B140" s="34"/>
      <c r="C140" s="34"/>
    </row>
    <row r="141" spans="1:3">
      <c r="A141" s="34"/>
      <c r="B141" s="34"/>
      <c r="C141" s="34"/>
    </row>
    <row r="142" spans="1:3">
      <c r="A142" s="34"/>
      <c r="B142" s="34"/>
      <c r="C142" s="34"/>
    </row>
    <row r="143" spans="1:3">
      <c r="A143" s="34"/>
      <c r="B143" s="34"/>
      <c r="C143" s="34"/>
    </row>
    <row r="144" spans="1:3">
      <c r="A144" s="34"/>
      <c r="B144" s="34"/>
      <c r="C144" s="34"/>
    </row>
    <row r="145" spans="1:3">
      <c r="A145" s="34"/>
      <c r="B145" s="34"/>
      <c r="C145" s="34"/>
    </row>
    <row r="146" spans="1:3">
      <c r="A146" s="34"/>
      <c r="B146" s="34"/>
      <c r="C146" s="34"/>
    </row>
    <row r="147" spans="1:3">
      <c r="A147" s="34"/>
      <c r="B147" s="34"/>
      <c r="C147" s="34"/>
    </row>
    <row r="148" spans="1:3">
      <c r="A148" s="34"/>
      <c r="B148" s="34"/>
      <c r="C148" s="34"/>
    </row>
    <row r="149" spans="1:3">
      <c r="A149" s="34"/>
      <c r="B149" s="34"/>
      <c r="C149" s="34"/>
    </row>
    <row r="150" spans="1:3">
      <c r="A150" s="34"/>
      <c r="B150" s="34"/>
      <c r="C150" s="34"/>
    </row>
    <row r="151" spans="1:3">
      <c r="A151" s="34"/>
      <c r="B151" s="34"/>
      <c r="C151" s="34"/>
    </row>
    <row r="152" spans="1:3">
      <c r="A152" s="34"/>
      <c r="B152" s="34"/>
      <c r="C152" s="34"/>
    </row>
    <row r="153" spans="1:3">
      <c r="A153" s="34"/>
      <c r="B153" s="34"/>
      <c r="C153" s="34"/>
    </row>
    <row r="154" spans="1:3">
      <c r="A154" s="34"/>
      <c r="B154" s="34"/>
      <c r="C154" s="34"/>
    </row>
    <row r="155" spans="1:3">
      <c r="A155" s="34"/>
      <c r="B155" s="34"/>
      <c r="C155" s="34"/>
    </row>
    <row r="156" spans="1:3">
      <c r="A156" s="34"/>
      <c r="B156" s="34"/>
      <c r="C156" s="34"/>
    </row>
    <row r="157" spans="1:3">
      <c r="A157" s="34"/>
      <c r="B157" s="34"/>
      <c r="C157" s="34"/>
    </row>
    <row r="158" spans="1:3">
      <c r="A158" s="34"/>
      <c r="B158" s="34"/>
      <c r="C158" s="34"/>
    </row>
    <row r="159" spans="1:3">
      <c r="A159" s="34"/>
      <c r="B159" s="34"/>
      <c r="C159" s="34"/>
    </row>
    <row r="160" spans="1:3">
      <c r="A160" s="34"/>
      <c r="B160" s="34"/>
      <c r="C160" s="34"/>
    </row>
    <row r="161" spans="1:3">
      <c r="A161" s="34"/>
      <c r="B161" s="34"/>
      <c r="C161" s="34"/>
    </row>
    <row r="162" spans="1:3">
      <c r="A162" s="34"/>
      <c r="B162" s="34"/>
      <c r="C162" s="34"/>
    </row>
    <row r="163" spans="1:3">
      <c r="A163" s="34"/>
      <c r="B163" s="34"/>
      <c r="C163" s="34"/>
    </row>
    <row r="164" spans="1:3">
      <c r="A164" s="34"/>
      <c r="B164" s="34"/>
      <c r="C164" s="34"/>
    </row>
    <row r="165" spans="1:3">
      <c r="A165" s="34"/>
      <c r="B165" s="34"/>
      <c r="C165" s="34"/>
    </row>
    <row r="166" spans="1:3">
      <c r="A166" s="34"/>
      <c r="B166" s="34"/>
      <c r="C166" s="34"/>
    </row>
    <row r="167" spans="1:3">
      <c r="A167" s="34"/>
      <c r="B167" s="34"/>
      <c r="C167" s="34"/>
    </row>
    <row r="168" spans="1:3">
      <c r="A168" s="34"/>
      <c r="B168" s="34"/>
      <c r="C168" s="34"/>
    </row>
    <row r="169" spans="1:3">
      <c r="A169" s="34"/>
      <c r="B169" s="34"/>
      <c r="C169" s="34"/>
    </row>
    <row r="170" spans="1:3">
      <c r="A170" s="34"/>
      <c r="B170" s="34"/>
      <c r="C170" s="34"/>
    </row>
    <row r="171" spans="1:3">
      <c r="A171" s="34"/>
      <c r="B171" s="34"/>
      <c r="C171" s="34"/>
    </row>
    <row r="172" spans="1:3">
      <c r="A172" s="34"/>
      <c r="B172" s="34"/>
      <c r="C172" s="34"/>
    </row>
    <row r="173" spans="1:3">
      <c r="A173" s="34"/>
      <c r="B173" s="34"/>
      <c r="C173" s="34"/>
    </row>
    <row r="174" spans="1:3">
      <c r="A174" s="34"/>
      <c r="B174" s="34"/>
      <c r="C174" s="34"/>
    </row>
    <row r="175" spans="1:3">
      <c r="A175" s="34"/>
      <c r="B175" s="34"/>
      <c r="C175" s="34"/>
    </row>
    <row r="176" spans="1:3">
      <c r="A176" s="34"/>
      <c r="B176" s="34"/>
      <c r="C176" s="34"/>
    </row>
    <row r="177" spans="1:3">
      <c r="A177" s="34"/>
      <c r="B177" s="34"/>
      <c r="C177" s="34"/>
    </row>
    <row r="178" spans="1:3">
      <c r="A178" s="34"/>
      <c r="B178" s="34"/>
      <c r="C178" s="34"/>
    </row>
    <row r="179" spans="1:3">
      <c r="A179" s="34"/>
      <c r="B179" s="34"/>
      <c r="C179" s="34"/>
    </row>
    <row r="180" spans="1:3">
      <c r="A180" s="34"/>
      <c r="B180" s="34"/>
      <c r="C180" s="34"/>
    </row>
    <row r="181" spans="1:3">
      <c r="A181" s="34"/>
      <c r="B181" s="34"/>
      <c r="C181" s="34"/>
    </row>
    <row r="182" spans="1:3">
      <c r="A182" s="34"/>
      <c r="B182" s="34"/>
      <c r="C182" s="34"/>
    </row>
    <row r="183" spans="1:3">
      <c r="A183" s="34"/>
      <c r="B183" s="34"/>
      <c r="C183" s="34"/>
    </row>
    <row r="184" spans="1:3">
      <c r="A184" s="34"/>
      <c r="B184" s="34"/>
      <c r="C184" s="34"/>
    </row>
    <row r="185" spans="1:3">
      <c r="A185" s="34"/>
      <c r="B185" s="34"/>
      <c r="C185" s="34"/>
    </row>
    <row r="186" spans="1:3">
      <c r="A186" s="34"/>
      <c r="B186" s="34"/>
      <c r="C186" s="34"/>
    </row>
    <row r="187" spans="1:3">
      <c r="A187" s="34"/>
      <c r="B187" s="34"/>
      <c r="C187" s="34"/>
    </row>
    <row r="188" spans="1:3">
      <c r="A188" s="34"/>
      <c r="B188" s="34"/>
      <c r="C188" s="34"/>
    </row>
    <row r="189" spans="1:3">
      <c r="A189" s="34"/>
      <c r="B189" s="34"/>
      <c r="C189" s="34"/>
    </row>
    <row r="190" spans="1:3">
      <c r="A190" s="34"/>
      <c r="B190" s="34"/>
      <c r="C190" s="34"/>
    </row>
    <row r="191" spans="1:3">
      <c r="A191" s="34"/>
      <c r="B191" s="34"/>
      <c r="C191" s="34"/>
    </row>
    <row r="192" spans="1:3">
      <c r="A192" s="34"/>
      <c r="B192" s="34"/>
      <c r="C192" s="34"/>
    </row>
    <row r="193" spans="1:3">
      <c r="A193" s="34"/>
      <c r="B193" s="34"/>
      <c r="C193" s="34"/>
    </row>
    <row r="194" spans="1:3">
      <c r="A194" s="34"/>
      <c r="B194" s="34"/>
      <c r="C194" s="34"/>
    </row>
    <row r="195" spans="1:3">
      <c r="A195" s="34"/>
      <c r="B195" s="34"/>
      <c r="C195" s="34"/>
    </row>
    <row r="196" spans="1:3">
      <c r="A196" s="34"/>
      <c r="B196" s="34"/>
      <c r="C196" s="34"/>
    </row>
    <row r="197" spans="1:3">
      <c r="A197" s="34"/>
      <c r="B197" s="34"/>
      <c r="C197" s="34"/>
    </row>
    <row r="198" spans="1:3">
      <c r="A198" s="34"/>
      <c r="B198" s="34"/>
      <c r="C198" s="34"/>
    </row>
    <row r="199" spans="1:3">
      <c r="A199" s="34"/>
      <c r="B199" s="34"/>
      <c r="C199" s="34"/>
    </row>
    <row r="200" spans="1:3">
      <c r="A200" s="34"/>
      <c r="B200" s="34"/>
      <c r="C200" s="34"/>
    </row>
    <row r="201" spans="1:3">
      <c r="A201" s="34"/>
      <c r="B201" s="34"/>
      <c r="C201" s="34"/>
    </row>
    <row r="202" spans="1:3">
      <c r="A202" s="34"/>
      <c r="B202" s="34"/>
      <c r="C202" s="34"/>
    </row>
    <row r="203" spans="1:3">
      <c r="A203" s="34"/>
      <c r="B203" s="34"/>
      <c r="C203" s="34"/>
    </row>
    <row r="204" spans="1:3">
      <c r="A204" s="34"/>
      <c r="B204" s="34"/>
      <c r="C204" s="34"/>
    </row>
    <row r="205" spans="1:3">
      <c r="A205" s="34"/>
      <c r="B205" s="34"/>
      <c r="C205" s="34"/>
    </row>
    <row r="206" spans="1:3">
      <c r="A206" s="34"/>
      <c r="B206" s="34"/>
      <c r="C206" s="34"/>
    </row>
    <row r="207" spans="1:3">
      <c r="A207" s="34"/>
      <c r="B207" s="34"/>
      <c r="C207" s="34"/>
    </row>
    <row r="208" spans="1:3">
      <c r="A208" s="34"/>
      <c r="B208" s="34"/>
      <c r="C208" s="34"/>
    </row>
    <row r="209" spans="1:3">
      <c r="A209" s="34"/>
      <c r="B209" s="34"/>
      <c r="C209" s="34"/>
    </row>
    <row r="210" spans="1:3">
      <c r="A210" s="34"/>
      <c r="B210" s="34"/>
      <c r="C210" s="34"/>
    </row>
    <row r="211" spans="1:3">
      <c r="A211" s="34"/>
      <c r="B211" s="34"/>
      <c r="C211" s="34"/>
    </row>
    <row r="212" spans="1:3">
      <c r="A212" s="34"/>
      <c r="B212" s="34"/>
      <c r="C212" s="34"/>
    </row>
    <row r="213" spans="1:3">
      <c r="A213" s="34"/>
      <c r="B213" s="34"/>
      <c r="C213" s="34"/>
    </row>
    <row r="214" spans="1:3">
      <c r="A214" s="34"/>
      <c r="B214" s="34"/>
      <c r="C214" s="34"/>
    </row>
    <row r="215" spans="1:3">
      <c r="A215" s="34"/>
      <c r="B215" s="34"/>
      <c r="C215" s="34"/>
    </row>
    <row r="216" spans="1:3">
      <c r="A216" s="34"/>
      <c r="B216" s="34"/>
      <c r="C216" s="34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01"/>
  <sheetViews>
    <sheetView workbookViewId="0">
      <pane ySplit="1" topLeftCell="A2" activePane="bottomLeft" state="frozen"/>
      <selection pane="bottomLeft" activeCell="A2" sqref="A2:M501"/>
    </sheetView>
  </sheetViews>
  <sheetFormatPr defaultColWidth="12.5703125" defaultRowHeight="15.75" customHeight="1"/>
  <cols>
    <col min="1" max="1" width="12.140625" customWidth="1"/>
    <col min="2" max="2" width="10.85546875" customWidth="1"/>
    <col min="3" max="3" width="19" customWidth="1"/>
    <col min="4" max="4" width="44" customWidth="1"/>
    <col min="5" max="5" width="7.42578125" customWidth="1"/>
    <col min="6" max="6" width="12.28515625" customWidth="1"/>
    <col min="7" max="7" width="11.140625" customWidth="1"/>
    <col min="8" max="8" width="14.85546875" customWidth="1"/>
    <col min="9" max="9" width="11.140625" customWidth="1"/>
    <col min="10" max="10" width="14.28515625" customWidth="1"/>
    <col min="11" max="11" width="17" customWidth="1"/>
    <col min="12" max="12" width="10.85546875" customWidth="1"/>
    <col min="13" max="13" width="13" customWidth="1"/>
  </cols>
  <sheetData>
    <row r="1" spans="1:13" ht="24" customHeight="1">
      <c r="A1" s="1" t="s">
        <v>34</v>
      </c>
      <c r="B1" s="1" t="s">
        <v>35</v>
      </c>
      <c r="C1" s="1" t="s">
        <v>0</v>
      </c>
      <c r="D1" s="1" t="s">
        <v>10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21</v>
      </c>
      <c r="M1" s="1" t="s">
        <v>43</v>
      </c>
    </row>
    <row r="2" spans="1:13" ht="19.5" customHeight="1">
      <c r="A2" s="16" t="s">
        <v>44</v>
      </c>
      <c r="B2" s="17">
        <v>45295</v>
      </c>
      <c r="C2" s="19" t="s">
        <v>6</v>
      </c>
      <c r="D2" s="19" t="s">
        <v>45</v>
      </c>
      <c r="E2" s="3">
        <v>2</v>
      </c>
      <c r="F2" s="5">
        <v>1499</v>
      </c>
      <c r="G2" s="4">
        <v>0.1</v>
      </c>
      <c r="H2" s="5">
        <f t="shared" ref="H2:H501" si="0">ROUND(E2*F2*(1-G2), 2)</f>
        <v>2698.2</v>
      </c>
      <c r="I2" s="7" t="e">
        <f ca="1">ROUND(_xludf.IFS(L2="Cancelled", 0, L2="Returned", -0.1*H2, C2="Electronics", 0.14*H2, C2="Appliances", 0.16*H2, C2="Fashion", 0.26*H2, C2="Home &amp; Kitchen", 0.22*H2, C2="Beauty &amp; Personal Care", 0.3*H2, C2="Sports &amp; Fitness", 0.2*H2, TRUE, 0.15*H2), 2)</f>
        <v>#NAME?</v>
      </c>
      <c r="J2" s="19" t="s">
        <v>46</v>
      </c>
      <c r="K2" s="19" t="s">
        <v>47</v>
      </c>
      <c r="L2" s="16" t="s">
        <v>24</v>
      </c>
      <c r="M2" s="19" t="s">
        <v>48</v>
      </c>
    </row>
    <row r="3" spans="1:13" ht="19.5" customHeight="1">
      <c r="A3" s="16" t="s">
        <v>49</v>
      </c>
      <c r="B3" s="17">
        <v>45297</v>
      </c>
      <c r="C3" s="19" t="s">
        <v>4</v>
      </c>
      <c r="D3" s="19" t="s">
        <v>50</v>
      </c>
      <c r="E3" s="3">
        <v>1</v>
      </c>
      <c r="F3" s="5">
        <v>2499</v>
      </c>
      <c r="G3" s="4">
        <v>0.2</v>
      </c>
      <c r="H3" s="5">
        <f t="shared" si="0"/>
        <v>1999.2</v>
      </c>
      <c r="I3" s="7" t="e">
        <f ca="1">ROUND(_xludf.IFS(L3="Cancelled", 0, L3="Returned", -0.1*H3, C3="Electronics", 0.14*H3, C3="Appliances", 0.16*H3, C3="Fashion", 0.26*H3, C3="Home &amp; Kitchen", 0.22*H3, C3="Beauty &amp; Personal Care", 0.3*H3, C3="Sports &amp; Fitness", 0.2*H3, TRUE, 0.15*H3), 2)</f>
        <v>#NAME?</v>
      </c>
      <c r="J3" s="19" t="s">
        <v>51</v>
      </c>
      <c r="K3" s="19" t="s">
        <v>47</v>
      </c>
      <c r="L3" s="16" t="s">
        <v>24</v>
      </c>
      <c r="M3" s="19" t="s">
        <v>52</v>
      </c>
    </row>
    <row r="4" spans="1:13" ht="19.5" customHeight="1">
      <c r="A4" s="16" t="s">
        <v>53</v>
      </c>
      <c r="B4" s="17">
        <v>45300</v>
      </c>
      <c r="C4" s="19" t="s">
        <v>3</v>
      </c>
      <c r="D4" s="19" t="s">
        <v>54</v>
      </c>
      <c r="E4" s="3">
        <v>1</v>
      </c>
      <c r="F4" s="5">
        <v>3299</v>
      </c>
      <c r="G4" s="4">
        <v>0.15</v>
      </c>
      <c r="H4" s="5">
        <f t="shared" si="0"/>
        <v>2804.15</v>
      </c>
      <c r="I4" s="7" t="e">
        <f ca="1">ROUND(_xludf.IFS(L4="Cancelled", 0, L4="Returned", -0.1*H4, C4="Electronics", 0.14*H4, C4="Appliances", 0.16*H4, C4="Fashion", 0.26*H4, C4="Home &amp; Kitchen", 0.22*H4, C4="Beauty &amp; Personal Care", 0.3*H4, C4="Sports &amp; Fitness", 0.2*H4, TRUE, 0.15*H4), 2)</f>
        <v>#NAME?</v>
      </c>
      <c r="J4" s="19" t="s">
        <v>55</v>
      </c>
      <c r="K4" s="19" t="s">
        <v>56</v>
      </c>
      <c r="L4" s="16" t="s">
        <v>24</v>
      </c>
      <c r="M4" s="19" t="s">
        <v>57</v>
      </c>
    </row>
    <row r="5" spans="1:13" ht="19.5" customHeight="1">
      <c r="A5" s="16" t="s">
        <v>58</v>
      </c>
      <c r="B5" s="17">
        <v>45302</v>
      </c>
      <c r="C5" s="19" t="s">
        <v>2</v>
      </c>
      <c r="D5" s="19" t="s">
        <v>59</v>
      </c>
      <c r="E5" s="3">
        <v>3</v>
      </c>
      <c r="F5" s="5">
        <v>399</v>
      </c>
      <c r="G5" s="4">
        <v>0.05</v>
      </c>
      <c r="H5" s="5">
        <f t="shared" si="0"/>
        <v>1137.1500000000001</v>
      </c>
      <c r="I5" s="7" t="e">
        <f ca="1">ROUND(_xludf.IFS(L5="Cancelled", 0, L5="Returned", -0.1*H5, C5="Electronics", 0.14*H5, C5="Appliances", 0.16*H5, C5="Fashion", 0.26*H5, C5="Home &amp; Kitchen", 0.22*H5, C5="Beauty &amp; Personal Care", 0.3*H5, C5="Sports &amp; Fitness", 0.2*H5, TRUE, 0.15*H5), 2)</f>
        <v>#NAME?</v>
      </c>
      <c r="J5" s="19" t="s">
        <v>60</v>
      </c>
      <c r="K5" s="19" t="s">
        <v>47</v>
      </c>
      <c r="L5" s="16" t="s">
        <v>24</v>
      </c>
      <c r="M5" s="19" t="s">
        <v>61</v>
      </c>
    </row>
    <row r="6" spans="1:13" ht="19.5" customHeight="1">
      <c r="A6" s="16" t="s">
        <v>62</v>
      </c>
      <c r="B6" s="17">
        <v>45305</v>
      </c>
      <c r="C6" s="19" t="s">
        <v>7</v>
      </c>
      <c r="D6" s="19" t="s">
        <v>63</v>
      </c>
      <c r="E6" s="3">
        <v>1</v>
      </c>
      <c r="F6" s="5">
        <v>7999</v>
      </c>
      <c r="G6" s="4">
        <v>0.25</v>
      </c>
      <c r="H6" s="5">
        <f t="shared" si="0"/>
        <v>5999.25</v>
      </c>
      <c r="I6" s="7" t="e">
        <f ca="1">ROUND(_xludf.IFS(L6="Cancelled", 0, L6="Returned", -0.1*H6, C6="Electronics", 0.14*H6, C6="Appliances", 0.16*H6, C6="Fashion", 0.26*H6, C6="Home &amp; Kitchen", 0.22*H6, C6="Beauty &amp; Personal Care", 0.3*H6, C6="Sports &amp; Fitness", 0.2*H6, TRUE, 0.15*H6), 2)</f>
        <v>#NAME?</v>
      </c>
      <c r="J6" s="19" t="s">
        <v>51</v>
      </c>
      <c r="K6" s="19" t="s">
        <v>47</v>
      </c>
      <c r="L6" s="16" t="s">
        <v>24</v>
      </c>
      <c r="M6" s="19" t="s">
        <v>64</v>
      </c>
    </row>
    <row r="7" spans="1:13" ht="19.5" customHeight="1">
      <c r="A7" s="16" t="s">
        <v>65</v>
      </c>
      <c r="B7" s="17">
        <v>45307</v>
      </c>
      <c r="C7" s="19" t="s">
        <v>6</v>
      </c>
      <c r="D7" s="19" t="s">
        <v>17</v>
      </c>
      <c r="E7" s="3">
        <v>1</v>
      </c>
      <c r="F7" s="5">
        <v>19999</v>
      </c>
      <c r="G7" s="4">
        <v>0.08</v>
      </c>
      <c r="H7" s="5">
        <f t="shared" si="0"/>
        <v>18399.080000000002</v>
      </c>
      <c r="I7" s="7" t="e">
        <f ca="1">ROUND(_xludf.IFS(L7="Cancelled", 0, L7="Returned", -0.1*H7, C7="Electronics", 0.14*H7, C7="Appliances", 0.16*H7, C7="Fashion", 0.26*H7, C7="Home &amp; Kitchen", 0.22*H7, C7="Beauty &amp; Personal Care", 0.3*H7, C7="Sports &amp; Fitness", 0.2*H7, TRUE, 0.15*H7), 2)</f>
        <v>#NAME?</v>
      </c>
      <c r="J7" s="19" t="s">
        <v>66</v>
      </c>
      <c r="K7" s="19" t="s">
        <v>47</v>
      </c>
      <c r="L7" s="16" t="s">
        <v>24</v>
      </c>
      <c r="M7" s="19" t="s">
        <v>67</v>
      </c>
    </row>
    <row r="8" spans="1:13" ht="19.5" customHeight="1">
      <c r="A8" s="16" t="s">
        <v>68</v>
      </c>
      <c r="B8" s="17">
        <v>45310</v>
      </c>
      <c r="C8" s="19" t="s">
        <v>5</v>
      </c>
      <c r="D8" s="19" t="s">
        <v>69</v>
      </c>
      <c r="E8" s="3">
        <v>2</v>
      </c>
      <c r="F8" s="5">
        <v>499</v>
      </c>
      <c r="G8" s="4">
        <v>0.1</v>
      </c>
      <c r="H8" s="5">
        <f t="shared" si="0"/>
        <v>898.2</v>
      </c>
      <c r="I8" s="7" t="e">
        <f ca="1">ROUND(_xludf.IFS(L8="Cancelled", 0, L8="Returned", -0.1*H8, C8="Electronics", 0.14*H8, C8="Appliances", 0.16*H8, C8="Fashion", 0.26*H8, C8="Home &amp; Kitchen", 0.22*H8, C8="Beauty &amp; Personal Care", 0.3*H8, C8="Sports &amp; Fitness", 0.2*H8, TRUE, 0.15*H8), 2)</f>
        <v>#NAME?</v>
      </c>
      <c r="J8" s="19" t="s">
        <v>46</v>
      </c>
      <c r="K8" s="19" t="s">
        <v>56</v>
      </c>
      <c r="L8" s="16" t="s">
        <v>24</v>
      </c>
      <c r="M8" s="19" t="s">
        <v>70</v>
      </c>
    </row>
    <row r="9" spans="1:13" ht="19.5" customHeight="1">
      <c r="A9" s="16" t="s">
        <v>71</v>
      </c>
      <c r="B9" s="17">
        <v>45312</v>
      </c>
      <c r="C9" s="19" t="s">
        <v>4</v>
      </c>
      <c r="D9" s="19" t="s">
        <v>72</v>
      </c>
      <c r="E9" s="3">
        <v>2</v>
      </c>
      <c r="F9" s="5">
        <v>1299</v>
      </c>
      <c r="G9" s="4">
        <v>0.3</v>
      </c>
      <c r="H9" s="5">
        <f t="shared" si="0"/>
        <v>1818.6</v>
      </c>
      <c r="I9" s="7" t="e">
        <f ca="1">ROUND(_xludf.IFS(L9="Cancelled", 0, L9="Returned", -0.1*H9, C9="Electronics", 0.14*H9, C9="Appliances", 0.16*H9, C9="Fashion", 0.26*H9, C9="Home &amp; Kitchen", 0.22*H9, C9="Beauty &amp; Personal Care", 0.3*H9, C9="Sports &amp; Fitness", 0.2*H9, TRUE, 0.15*H9), 2)</f>
        <v>#NAME?</v>
      </c>
      <c r="J9" s="19" t="s">
        <v>51</v>
      </c>
      <c r="K9" s="19" t="s">
        <v>47</v>
      </c>
      <c r="L9" s="16" t="s">
        <v>26</v>
      </c>
      <c r="M9" s="19" t="s">
        <v>73</v>
      </c>
    </row>
    <row r="10" spans="1:13" ht="19.5" customHeight="1">
      <c r="A10" s="16" t="s">
        <v>74</v>
      </c>
      <c r="B10" s="17">
        <v>45315</v>
      </c>
      <c r="C10" s="19" t="s">
        <v>3</v>
      </c>
      <c r="D10" s="19" t="s">
        <v>75</v>
      </c>
      <c r="E10" s="3">
        <v>1</v>
      </c>
      <c r="F10" s="5">
        <v>1899</v>
      </c>
      <c r="G10" s="4">
        <v>0.15</v>
      </c>
      <c r="H10" s="5">
        <f t="shared" si="0"/>
        <v>1614.15</v>
      </c>
      <c r="I10" s="7" t="e">
        <f ca="1">ROUND(_xludf.IFS(L10="Cancelled", 0, L10="Returned", -0.1*H10, C10="Electronics", 0.14*H10, C10="Appliances", 0.16*H10, C10="Fashion", 0.26*H10, C10="Home &amp; Kitchen", 0.22*H10, C10="Beauty &amp; Personal Care", 0.3*H10, C10="Sports &amp; Fitness", 0.2*H10, TRUE, 0.15*H10), 2)</f>
        <v>#NAME?</v>
      </c>
      <c r="J10" s="19" t="s">
        <v>46</v>
      </c>
      <c r="K10" s="19" t="s">
        <v>47</v>
      </c>
      <c r="L10" s="16" t="s">
        <v>24</v>
      </c>
      <c r="M10" s="19" t="s">
        <v>76</v>
      </c>
    </row>
    <row r="11" spans="1:13" ht="19.5" customHeight="1">
      <c r="A11" s="16" t="s">
        <v>77</v>
      </c>
      <c r="B11" s="17">
        <v>45317</v>
      </c>
      <c r="C11" s="19" t="s">
        <v>6</v>
      </c>
      <c r="D11" s="19" t="s">
        <v>78</v>
      </c>
      <c r="E11" s="3">
        <v>1</v>
      </c>
      <c r="F11" s="5">
        <v>1799</v>
      </c>
      <c r="G11" s="4">
        <v>0.2</v>
      </c>
      <c r="H11" s="5">
        <f t="shared" si="0"/>
        <v>1439.2</v>
      </c>
      <c r="I11" s="7" t="e">
        <f ca="1">ROUND(_xludf.IFS(L11="Cancelled", 0, L11="Returned", -0.1*H11, C11="Electronics", 0.14*H11, C11="Appliances", 0.16*H11, C11="Fashion", 0.26*H11, C11="Home &amp; Kitchen", 0.22*H11, C11="Beauty &amp; Personal Care", 0.3*H11, C11="Sports &amp; Fitness", 0.2*H11, TRUE, 0.15*H11), 2)</f>
        <v>#NAME?</v>
      </c>
      <c r="J11" s="19" t="s">
        <v>79</v>
      </c>
      <c r="K11" s="19" t="s">
        <v>56</v>
      </c>
      <c r="L11" s="16" t="s">
        <v>24</v>
      </c>
      <c r="M11" s="19" t="s">
        <v>80</v>
      </c>
    </row>
    <row r="12" spans="1:13" ht="19.5" customHeight="1">
      <c r="A12" s="16" t="s">
        <v>81</v>
      </c>
      <c r="B12" s="17">
        <v>45320</v>
      </c>
      <c r="C12" s="19" t="s">
        <v>2</v>
      </c>
      <c r="D12" s="19" t="s">
        <v>82</v>
      </c>
      <c r="E12" s="3">
        <v>4</v>
      </c>
      <c r="F12" s="5">
        <v>650</v>
      </c>
      <c r="G12" s="4">
        <v>0.1</v>
      </c>
      <c r="H12" s="5">
        <f t="shared" si="0"/>
        <v>2340</v>
      </c>
      <c r="I12" s="7" t="e">
        <f ca="1">ROUND(_xludf.IFS(L12="Cancelled", 0, L12="Returned", -0.1*H12, C12="Electronics", 0.14*H12, C12="Appliances", 0.16*H12, C12="Fashion", 0.26*H12, C12="Home &amp; Kitchen", 0.22*H12, C12="Beauty &amp; Personal Care", 0.3*H12, C12="Sports &amp; Fitness", 0.2*H12, TRUE, 0.15*H12), 2)</f>
        <v>#NAME?</v>
      </c>
      <c r="J12" s="19" t="s">
        <v>60</v>
      </c>
      <c r="K12" s="19" t="s">
        <v>47</v>
      </c>
      <c r="L12" s="16" t="s">
        <v>24</v>
      </c>
      <c r="M12" s="19" t="s">
        <v>48</v>
      </c>
    </row>
    <row r="13" spans="1:13" ht="19.5" customHeight="1">
      <c r="A13" s="16" t="s">
        <v>83</v>
      </c>
      <c r="B13" s="17">
        <v>45322</v>
      </c>
      <c r="C13" s="19" t="s">
        <v>7</v>
      </c>
      <c r="D13" s="19" t="s">
        <v>84</v>
      </c>
      <c r="E13" s="3">
        <v>1</v>
      </c>
      <c r="F13" s="5">
        <v>2899</v>
      </c>
      <c r="G13" s="4">
        <v>0.18</v>
      </c>
      <c r="H13" s="5">
        <f t="shared" si="0"/>
        <v>2377.1799999999998</v>
      </c>
      <c r="I13" s="7" t="e">
        <f ca="1">ROUND(_xludf.IFS(L13="Cancelled", 0, L13="Returned", -0.1*H13, C13="Electronics", 0.14*H13, C13="Appliances", 0.16*H13, C13="Fashion", 0.26*H13, C13="Home &amp; Kitchen", 0.22*H13, C13="Beauty &amp; Personal Care", 0.3*H13, C13="Sports &amp; Fitness", 0.2*H13, TRUE, 0.15*H13), 2)</f>
        <v>#NAME?</v>
      </c>
      <c r="J13" s="19" t="s">
        <v>46</v>
      </c>
      <c r="K13" s="19" t="s">
        <v>47</v>
      </c>
      <c r="L13" s="16" t="s">
        <v>24</v>
      </c>
      <c r="M13" s="19" t="s">
        <v>52</v>
      </c>
    </row>
    <row r="14" spans="1:13" ht="19.5" customHeight="1">
      <c r="A14" s="16" t="s">
        <v>85</v>
      </c>
      <c r="B14" s="17">
        <v>45325</v>
      </c>
      <c r="C14" s="19" t="s">
        <v>4</v>
      </c>
      <c r="D14" s="19" t="s">
        <v>31</v>
      </c>
      <c r="E14" s="3">
        <v>1</v>
      </c>
      <c r="F14" s="5">
        <v>3499</v>
      </c>
      <c r="G14" s="4">
        <v>0.25</v>
      </c>
      <c r="H14" s="5">
        <f t="shared" si="0"/>
        <v>2624.25</v>
      </c>
      <c r="I14" s="7" t="e">
        <f ca="1">ROUND(_xludf.IFS(L14="Cancelled", 0, L14="Returned", -0.1*H14, C14="Electronics", 0.14*H14, C14="Appliances", 0.16*H14, C14="Fashion", 0.26*H14, C14="Home &amp; Kitchen", 0.22*H14, C14="Beauty &amp; Personal Care", 0.3*H14, C14="Sports &amp; Fitness", 0.2*H14, TRUE, 0.15*H14), 2)</f>
        <v>#NAME?</v>
      </c>
      <c r="J14" s="19" t="s">
        <v>51</v>
      </c>
      <c r="K14" s="19" t="s">
        <v>56</v>
      </c>
      <c r="L14" s="16" t="s">
        <v>23</v>
      </c>
      <c r="M14" s="19" t="s">
        <v>64</v>
      </c>
    </row>
    <row r="15" spans="1:13" ht="19.5" customHeight="1">
      <c r="A15" s="16" t="s">
        <v>86</v>
      </c>
      <c r="B15" s="17">
        <v>45327</v>
      </c>
      <c r="C15" s="19" t="s">
        <v>6</v>
      </c>
      <c r="D15" s="19" t="s">
        <v>87</v>
      </c>
      <c r="E15" s="3">
        <v>2</v>
      </c>
      <c r="F15" s="5">
        <v>2495</v>
      </c>
      <c r="G15" s="4">
        <v>0.12</v>
      </c>
      <c r="H15" s="5">
        <f t="shared" si="0"/>
        <v>4391.2</v>
      </c>
      <c r="I15" s="7" t="e">
        <f ca="1">ROUND(_xludf.IFS(L15="Cancelled", 0, L15="Returned", -0.1*H15, C15="Electronics", 0.14*H15, C15="Appliances", 0.16*H15, C15="Fashion", 0.26*H15, C15="Home &amp; Kitchen", 0.22*H15, C15="Beauty &amp; Personal Care", 0.3*H15, C15="Sports &amp; Fitness", 0.2*H15, TRUE, 0.15*H15), 2)</f>
        <v>#NAME?</v>
      </c>
      <c r="J15" s="19" t="s">
        <v>66</v>
      </c>
      <c r="K15" s="19" t="s">
        <v>47</v>
      </c>
      <c r="L15" s="16" t="s">
        <v>24</v>
      </c>
      <c r="M15" s="19" t="s">
        <v>67</v>
      </c>
    </row>
    <row r="16" spans="1:13" ht="19.5" customHeight="1">
      <c r="A16" s="16" t="s">
        <v>88</v>
      </c>
      <c r="B16" s="17">
        <v>45330</v>
      </c>
      <c r="C16" s="19" t="s">
        <v>5</v>
      </c>
      <c r="D16" s="19" t="s">
        <v>89</v>
      </c>
      <c r="E16" s="3">
        <v>1</v>
      </c>
      <c r="F16" s="5">
        <v>1249</v>
      </c>
      <c r="G16" s="4">
        <v>0.15</v>
      </c>
      <c r="H16" s="5">
        <f t="shared" si="0"/>
        <v>1061.6500000000001</v>
      </c>
      <c r="I16" s="7" t="e">
        <f ca="1">ROUND(_xludf.IFS(L16="Cancelled", 0, L16="Returned", -0.1*H16, C16="Electronics", 0.14*H16, C16="Appliances", 0.16*H16, C16="Fashion", 0.26*H16, C16="Home &amp; Kitchen", 0.22*H16, C16="Beauty &amp; Personal Care", 0.3*H16, C16="Sports &amp; Fitness", 0.2*H16, TRUE, 0.15*H16), 2)</f>
        <v>#NAME?</v>
      </c>
      <c r="J16" s="19" t="s">
        <v>46</v>
      </c>
      <c r="K16" s="19" t="s">
        <v>56</v>
      </c>
      <c r="L16" s="16" t="s">
        <v>24</v>
      </c>
      <c r="M16" s="19" t="s">
        <v>90</v>
      </c>
    </row>
    <row r="17" spans="1:13" ht="19.5" customHeight="1">
      <c r="A17" s="16" t="s">
        <v>91</v>
      </c>
      <c r="B17" s="17">
        <v>45332</v>
      </c>
      <c r="C17" s="19" t="s">
        <v>3</v>
      </c>
      <c r="D17" s="19" t="s">
        <v>92</v>
      </c>
      <c r="E17" s="3">
        <v>3</v>
      </c>
      <c r="F17" s="5">
        <v>980</v>
      </c>
      <c r="G17" s="4">
        <v>0.08</v>
      </c>
      <c r="H17" s="5">
        <f t="shared" si="0"/>
        <v>2704.8</v>
      </c>
      <c r="I17" s="7" t="e">
        <f ca="1">ROUND(_xludf.IFS(L17="Cancelled", 0, L17="Returned", -0.1*H17, C17="Electronics", 0.14*H17, C17="Appliances", 0.16*H17, C17="Fashion", 0.26*H17, C17="Home &amp; Kitchen", 0.22*H17, C17="Beauty &amp; Personal Care", 0.3*H17, C17="Sports &amp; Fitness", 0.2*H17, TRUE, 0.15*H17), 2)</f>
        <v>#NAME?</v>
      </c>
      <c r="J17" s="19" t="s">
        <v>55</v>
      </c>
      <c r="K17" s="19" t="s">
        <v>47</v>
      </c>
      <c r="L17" s="16" t="s">
        <v>24</v>
      </c>
      <c r="M17" s="19" t="s">
        <v>57</v>
      </c>
    </row>
    <row r="18" spans="1:13" ht="19.5" customHeight="1">
      <c r="A18" s="16" t="s">
        <v>93</v>
      </c>
      <c r="B18" s="17">
        <v>45335</v>
      </c>
      <c r="C18" s="19" t="s">
        <v>2</v>
      </c>
      <c r="D18" s="19" t="s">
        <v>94</v>
      </c>
      <c r="E18" s="3">
        <v>2</v>
      </c>
      <c r="F18" s="5">
        <v>599</v>
      </c>
      <c r="G18" s="4">
        <v>0.12</v>
      </c>
      <c r="H18" s="5">
        <f t="shared" si="0"/>
        <v>1054.24</v>
      </c>
      <c r="I18" s="7" t="e">
        <f ca="1">ROUND(_xludf.IFS(L18="Cancelled", 0, L18="Returned", -0.1*H18, C18="Electronics", 0.14*H18, C18="Appliances", 0.16*H18, C18="Fashion", 0.26*H18, C18="Home &amp; Kitchen", 0.22*H18, C18="Beauty &amp; Personal Care", 0.3*H18, C18="Sports &amp; Fitness", 0.2*H18, TRUE, 0.15*H18), 2)</f>
        <v>#NAME?</v>
      </c>
      <c r="J18" s="19" t="s">
        <v>46</v>
      </c>
      <c r="K18" s="19" t="s">
        <v>47</v>
      </c>
      <c r="L18" s="16" t="s">
        <v>24</v>
      </c>
      <c r="M18" s="19" t="s">
        <v>48</v>
      </c>
    </row>
    <row r="19" spans="1:13" ht="19.5" customHeight="1">
      <c r="A19" s="16" t="s">
        <v>95</v>
      </c>
      <c r="B19" s="17">
        <v>45337</v>
      </c>
      <c r="C19" s="19" t="s">
        <v>6</v>
      </c>
      <c r="D19" s="19" t="s">
        <v>96</v>
      </c>
      <c r="E19" s="3">
        <v>2</v>
      </c>
      <c r="F19" s="5">
        <v>1399</v>
      </c>
      <c r="G19" s="4">
        <v>0.2</v>
      </c>
      <c r="H19" s="5">
        <f t="shared" si="0"/>
        <v>2238.4</v>
      </c>
      <c r="I19" s="7" t="e">
        <f ca="1">ROUND(_xludf.IFS(L19="Cancelled", 0, L19="Returned", -0.1*H19, C19="Electronics", 0.14*H19, C19="Appliances", 0.16*H19, C19="Fashion", 0.26*H19, C19="Home &amp; Kitchen", 0.22*H19, C19="Beauty &amp; Personal Care", 0.3*H19, C19="Sports &amp; Fitness", 0.2*H19, TRUE, 0.15*H19), 2)</f>
        <v>#NAME?</v>
      </c>
      <c r="J19" s="19" t="s">
        <v>51</v>
      </c>
      <c r="K19" s="19" t="s">
        <v>56</v>
      </c>
      <c r="L19" s="16" t="s">
        <v>24</v>
      </c>
      <c r="M19" s="19" t="s">
        <v>61</v>
      </c>
    </row>
    <row r="20" spans="1:13" ht="19.5" customHeight="1">
      <c r="A20" s="16" t="s">
        <v>97</v>
      </c>
      <c r="B20" s="17">
        <v>45340</v>
      </c>
      <c r="C20" s="19" t="s">
        <v>7</v>
      </c>
      <c r="D20" s="19" t="s">
        <v>98</v>
      </c>
      <c r="E20" s="3">
        <v>1</v>
      </c>
      <c r="F20" s="5">
        <v>7792</v>
      </c>
      <c r="G20" s="4">
        <v>0.22</v>
      </c>
      <c r="H20" s="5">
        <f t="shared" si="0"/>
        <v>6077.76</v>
      </c>
      <c r="I20" s="7" t="e">
        <f ca="1">ROUND(_xludf.IFS(L20="Cancelled", 0, L20="Returned", -0.1*H20, C20="Electronics", 0.14*H20, C20="Appliances", 0.16*H20, C20="Fashion", 0.26*H20, C20="Home &amp; Kitchen", 0.22*H20, C20="Beauty &amp; Personal Care", 0.3*H20, C20="Sports &amp; Fitness", 0.2*H20, TRUE, 0.15*H20), 2)</f>
        <v>#NAME?</v>
      </c>
      <c r="J20" s="19" t="s">
        <v>51</v>
      </c>
      <c r="K20" s="19" t="s">
        <v>47</v>
      </c>
      <c r="L20" s="16" t="s">
        <v>24</v>
      </c>
      <c r="M20" s="19" t="s">
        <v>80</v>
      </c>
    </row>
    <row r="21" spans="1:13" ht="19.5" customHeight="1">
      <c r="A21" s="16" t="s">
        <v>99</v>
      </c>
      <c r="B21" s="17">
        <v>45342</v>
      </c>
      <c r="C21" s="19" t="s">
        <v>6</v>
      </c>
      <c r="D21" s="19" t="s">
        <v>19</v>
      </c>
      <c r="E21" s="3">
        <v>1</v>
      </c>
      <c r="F21" s="5">
        <v>16999</v>
      </c>
      <c r="G21" s="4">
        <v>0.15</v>
      </c>
      <c r="H21" s="5">
        <f t="shared" si="0"/>
        <v>14449.15</v>
      </c>
      <c r="I21" s="7" t="e">
        <f ca="1">ROUND(_xludf.IFS(L21="Cancelled", 0, L21="Returned", -0.1*H21, C21="Electronics", 0.14*H21, C21="Appliances", 0.16*H21, C21="Fashion", 0.26*H21, C21="Home &amp; Kitchen", 0.22*H21, C21="Beauty &amp; Personal Care", 0.3*H21, C21="Sports &amp; Fitness", 0.2*H21, TRUE, 0.15*H21), 2)</f>
        <v>#NAME?</v>
      </c>
      <c r="J21" s="19" t="s">
        <v>66</v>
      </c>
      <c r="K21" s="19" t="s">
        <v>47</v>
      </c>
      <c r="L21" s="16" t="s">
        <v>24</v>
      </c>
      <c r="M21" s="19" t="s">
        <v>52</v>
      </c>
    </row>
    <row r="22" spans="1:13" ht="19.5" customHeight="1">
      <c r="A22" s="16" t="s">
        <v>100</v>
      </c>
      <c r="B22" s="17">
        <v>45345</v>
      </c>
      <c r="C22" s="19" t="s">
        <v>4</v>
      </c>
      <c r="D22" s="19" t="s">
        <v>101</v>
      </c>
      <c r="E22" s="3">
        <v>3</v>
      </c>
      <c r="F22" s="5">
        <v>1199</v>
      </c>
      <c r="G22" s="4">
        <v>0.25</v>
      </c>
      <c r="H22" s="5">
        <f t="shared" si="0"/>
        <v>2697.75</v>
      </c>
      <c r="I22" s="7" t="e">
        <f ca="1">ROUND(_xludf.IFS(L22="Cancelled", 0, L22="Returned", -0.1*H22, C22="Electronics", 0.14*H22, C22="Appliances", 0.16*H22, C22="Fashion", 0.26*H22, C22="Home &amp; Kitchen", 0.22*H22, C22="Beauty &amp; Personal Care", 0.3*H22, C22="Sports &amp; Fitness", 0.2*H22, TRUE, 0.15*H22), 2)</f>
        <v>#NAME?</v>
      </c>
      <c r="J22" s="19" t="s">
        <v>46</v>
      </c>
      <c r="K22" s="19" t="s">
        <v>47</v>
      </c>
      <c r="L22" s="16" t="s">
        <v>24</v>
      </c>
      <c r="M22" s="19" t="s">
        <v>64</v>
      </c>
    </row>
    <row r="23" spans="1:13" ht="19.5" customHeight="1">
      <c r="A23" s="16" t="s">
        <v>102</v>
      </c>
      <c r="B23" s="17">
        <v>45347</v>
      </c>
      <c r="C23" s="19" t="s">
        <v>3</v>
      </c>
      <c r="D23" s="19" t="s">
        <v>103</v>
      </c>
      <c r="E23" s="3">
        <v>1</v>
      </c>
      <c r="F23" s="5">
        <v>1750</v>
      </c>
      <c r="G23" s="4">
        <v>0.1</v>
      </c>
      <c r="H23" s="5">
        <f t="shared" si="0"/>
        <v>1575</v>
      </c>
      <c r="I23" s="7" t="e">
        <f ca="1">ROUND(_xludf.IFS(L23="Cancelled", 0, L23="Returned", -0.1*H23, C23="Electronics", 0.14*H23, C23="Appliances", 0.16*H23, C23="Fashion", 0.26*H23, C23="Home &amp; Kitchen", 0.22*H23, C23="Beauty &amp; Personal Care", 0.3*H23, C23="Sports &amp; Fitness", 0.2*H23, TRUE, 0.15*H23), 2)</f>
        <v>#NAME?</v>
      </c>
      <c r="J23" s="19" t="s">
        <v>79</v>
      </c>
      <c r="K23" s="19" t="s">
        <v>47</v>
      </c>
      <c r="L23" s="16" t="s">
        <v>24</v>
      </c>
      <c r="M23" s="19" t="s">
        <v>73</v>
      </c>
    </row>
    <row r="24" spans="1:13" ht="19.5" customHeight="1">
      <c r="A24" s="16" t="s">
        <v>104</v>
      </c>
      <c r="B24" s="17">
        <v>45350</v>
      </c>
      <c r="C24" s="19" t="s">
        <v>2</v>
      </c>
      <c r="D24" s="19" t="s">
        <v>105</v>
      </c>
      <c r="E24" s="3">
        <v>2</v>
      </c>
      <c r="F24" s="5">
        <v>499</v>
      </c>
      <c r="G24" s="4">
        <v>0.15</v>
      </c>
      <c r="H24" s="5">
        <f t="shared" si="0"/>
        <v>848.3</v>
      </c>
      <c r="I24" s="7" t="e">
        <f ca="1">ROUND(_xludf.IFS(L24="Cancelled", 0, L24="Returned", -0.1*H24, C24="Electronics", 0.14*H24, C24="Appliances", 0.16*H24, C24="Fashion", 0.26*H24, C24="Home &amp; Kitchen", 0.22*H24, C24="Beauty &amp; Personal Care", 0.3*H24, C24="Sports &amp; Fitness", 0.2*H24, TRUE, 0.15*H24), 2)</f>
        <v>#NAME?</v>
      </c>
      <c r="J24" s="19" t="s">
        <v>60</v>
      </c>
      <c r="K24" s="19" t="s">
        <v>56</v>
      </c>
      <c r="L24" s="16" t="s">
        <v>26</v>
      </c>
      <c r="M24" s="19" t="s">
        <v>106</v>
      </c>
    </row>
    <row r="25" spans="1:13" ht="19.5" customHeight="1">
      <c r="A25" s="16" t="s">
        <v>107</v>
      </c>
      <c r="B25" s="17">
        <v>45353</v>
      </c>
      <c r="C25" s="19" t="s">
        <v>5</v>
      </c>
      <c r="D25" s="19" t="s">
        <v>108</v>
      </c>
      <c r="E25" s="3">
        <v>2</v>
      </c>
      <c r="F25" s="5">
        <v>480</v>
      </c>
      <c r="G25" s="4">
        <v>0.05</v>
      </c>
      <c r="H25" s="5">
        <f t="shared" si="0"/>
        <v>912</v>
      </c>
      <c r="I25" s="7" t="e">
        <f ca="1">ROUND(_xludf.IFS(L25="Cancelled", 0, L25="Returned", -0.1*H25, C25="Electronics", 0.14*H25, C25="Appliances", 0.16*H25, C25="Fashion", 0.26*H25, C25="Home &amp; Kitchen", 0.22*H25, C25="Beauty &amp; Personal Care", 0.3*H25, C25="Sports &amp; Fitness", 0.2*H25, TRUE, 0.15*H25), 2)</f>
        <v>#NAME?</v>
      </c>
      <c r="J25" s="19" t="s">
        <v>46</v>
      </c>
      <c r="K25" s="19" t="s">
        <v>47</v>
      </c>
      <c r="L25" s="16" t="s">
        <v>24</v>
      </c>
      <c r="M25" s="19" t="s">
        <v>109</v>
      </c>
    </row>
    <row r="26" spans="1:13" ht="19.5" customHeight="1">
      <c r="A26" s="16" t="s">
        <v>110</v>
      </c>
      <c r="B26" s="17">
        <v>45355</v>
      </c>
      <c r="C26" s="19" t="s">
        <v>6</v>
      </c>
      <c r="D26" s="19" t="s">
        <v>111</v>
      </c>
      <c r="E26" s="3">
        <v>1</v>
      </c>
      <c r="F26" s="5">
        <v>2999</v>
      </c>
      <c r="G26" s="4">
        <v>0.18</v>
      </c>
      <c r="H26" s="5">
        <f t="shared" si="0"/>
        <v>2459.1799999999998</v>
      </c>
      <c r="I26" s="7" t="e">
        <f ca="1">ROUND(_xludf.IFS(L26="Cancelled", 0, L26="Returned", -0.1*H26, C26="Electronics", 0.14*H26, C26="Appliances", 0.16*H26, C26="Fashion", 0.26*H26, C26="Home &amp; Kitchen", 0.22*H26, C26="Beauty &amp; Personal Care", 0.3*H26, C26="Sports &amp; Fitness", 0.2*H26, TRUE, 0.15*H26), 2)</f>
        <v>#NAME?</v>
      </c>
      <c r="J26" s="19" t="s">
        <v>51</v>
      </c>
      <c r="K26" s="19" t="s">
        <v>47</v>
      </c>
      <c r="L26" s="16" t="s">
        <v>24</v>
      </c>
      <c r="M26" s="19" t="s">
        <v>48</v>
      </c>
    </row>
    <row r="27" spans="1:13" ht="19.5" customHeight="1">
      <c r="A27" s="16" t="s">
        <v>112</v>
      </c>
      <c r="B27" s="17">
        <v>45358</v>
      </c>
      <c r="C27" s="19" t="s">
        <v>7</v>
      </c>
      <c r="D27" s="19" t="s">
        <v>113</v>
      </c>
      <c r="E27" s="3">
        <v>2</v>
      </c>
      <c r="F27" s="5">
        <v>2199</v>
      </c>
      <c r="G27" s="4">
        <v>0.12</v>
      </c>
      <c r="H27" s="5">
        <f t="shared" si="0"/>
        <v>3870.24</v>
      </c>
      <c r="I27" s="7" t="e">
        <f ca="1">ROUND(_xludf.IFS(L27="Cancelled", 0, L27="Returned", -0.1*H27, C27="Electronics", 0.14*H27, C27="Appliances", 0.16*H27, C27="Fashion", 0.26*H27, C27="Home &amp; Kitchen", 0.22*H27, C27="Beauty &amp; Personal Care", 0.3*H27, C27="Sports &amp; Fitness", 0.2*H27, TRUE, 0.15*H27), 2)</f>
        <v>#NAME?</v>
      </c>
      <c r="J27" s="19" t="s">
        <v>55</v>
      </c>
      <c r="K27" s="19" t="s">
        <v>47</v>
      </c>
      <c r="L27" s="16" t="s">
        <v>24</v>
      </c>
      <c r="M27" s="19" t="s">
        <v>114</v>
      </c>
    </row>
    <row r="28" spans="1:13" ht="19.5" customHeight="1">
      <c r="A28" s="16" t="s">
        <v>115</v>
      </c>
      <c r="B28" s="17">
        <v>45360</v>
      </c>
      <c r="C28" s="19" t="s">
        <v>4</v>
      </c>
      <c r="D28" s="19" t="s">
        <v>116</v>
      </c>
      <c r="E28" s="3">
        <v>1</v>
      </c>
      <c r="F28" s="5">
        <v>1899</v>
      </c>
      <c r="G28" s="4">
        <v>0.3</v>
      </c>
      <c r="H28" s="5">
        <f t="shared" si="0"/>
        <v>1329.3</v>
      </c>
      <c r="I28" s="7" t="e">
        <f ca="1">ROUND(_xludf.IFS(L28="Cancelled", 0, L28="Returned", -0.1*H28, C28="Electronics", 0.14*H28, C28="Appliances", 0.16*H28, C28="Fashion", 0.26*H28, C28="Home &amp; Kitchen", 0.22*H28, C28="Beauty &amp; Personal Care", 0.3*H28, C28="Sports &amp; Fitness", 0.2*H28, TRUE, 0.15*H28), 2)</f>
        <v>#NAME?</v>
      </c>
      <c r="J28" s="19" t="s">
        <v>46</v>
      </c>
      <c r="K28" s="19" t="s">
        <v>56</v>
      </c>
      <c r="L28" s="16" t="s">
        <v>24</v>
      </c>
      <c r="M28" s="19" t="s">
        <v>70</v>
      </c>
    </row>
    <row r="29" spans="1:13" ht="19.5" customHeight="1">
      <c r="A29" s="16" t="s">
        <v>117</v>
      </c>
      <c r="B29" s="17">
        <v>45363</v>
      </c>
      <c r="C29" s="19" t="s">
        <v>6</v>
      </c>
      <c r="D29" s="19" t="s">
        <v>118</v>
      </c>
      <c r="E29" s="3">
        <v>1</v>
      </c>
      <c r="F29" s="5">
        <v>10999</v>
      </c>
      <c r="G29" s="4">
        <v>0.08</v>
      </c>
      <c r="H29" s="5">
        <f t="shared" si="0"/>
        <v>10119.08</v>
      </c>
      <c r="I29" s="7" t="e">
        <f ca="1">ROUND(_xludf.IFS(L29="Cancelled", 0, L29="Returned", -0.1*H29, C29="Electronics", 0.14*H29, C29="Appliances", 0.16*H29, C29="Fashion", 0.26*H29, C29="Home &amp; Kitchen", 0.22*H29, C29="Beauty &amp; Personal Care", 0.3*H29, C29="Sports &amp; Fitness", 0.2*H29, TRUE, 0.15*H29), 2)</f>
        <v>#NAME?</v>
      </c>
      <c r="J29" s="19" t="s">
        <v>51</v>
      </c>
      <c r="K29" s="19" t="s">
        <v>47</v>
      </c>
      <c r="L29" s="16" t="s">
        <v>24</v>
      </c>
      <c r="M29" s="19" t="s">
        <v>52</v>
      </c>
    </row>
    <row r="30" spans="1:13" ht="19.5" customHeight="1">
      <c r="A30" s="16" t="s">
        <v>119</v>
      </c>
      <c r="B30" s="17">
        <v>45365</v>
      </c>
      <c r="C30" s="19" t="s">
        <v>3</v>
      </c>
      <c r="D30" s="19" t="s">
        <v>120</v>
      </c>
      <c r="E30" s="3">
        <v>1</v>
      </c>
      <c r="F30" s="5">
        <v>995</v>
      </c>
      <c r="G30" s="4">
        <v>0.1</v>
      </c>
      <c r="H30" s="5">
        <f t="shared" si="0"/>
        <v>895.5</v>
      </c>
      <c r="I30" s="7" t="e">
        <f ca="1">ROUND(_xludf.IFS(L30="Cancelled", 0, L30="Returned", -0.1*H30, C30="Electronics", 0.14*H30, C30="Appliances", 0.16*H30, C30="Fashion", 0.26*H30, C30="Home &amp; Kitchen", 0.22*H30, C30="Beauty &amp; Personal Care", 0.3*H30, C30="Sports &amp; Fitness", 0.2*H30, TRUE, 0.15*H30), 2)</f>
        <v>#NAME?</v>
      </c>
      <c r="J30" s="19" t="s">
        <v>66</v>
      </c>
      <c r="K30" s="19" t="s">
        <v>47</v>
      </c>
      <c r="L30" s="16" t="s">
        <v>24</v>
      </c>
      <c r="M30" s="19" t="s">
        <v>48</v>
      </c>
    </row>
    <row r="31" spans="1:13" ht="19.5" customHeight="1">
      <c r="A31" s="16" t="s">
        <v>121</v>
      </c>
      <c r="B31" s="17">
        <v>45368</v>
      </c>
      <c r="C31" s="19" t="s">
        <v>2</v>
      </c>
      <c r="D31" s="19" t="s">
        <v>122</v>
      </c>
      <c r="E31" s="3">
        <v>3</v>
      </c>
      <c r="F31" s="5">
        <v>549</v>
      </c>
      <c r="G31" s="4">
        <v>0.05</v>
      </c>
      <c r="H31" s="5">
        <f t="shared" si="0"/>
        <v>1564.65</v>
      </c>
      <c r="I31" s="7" t="e">
        <f ca="1">ROUND(_xludf.IFS(L31="Cancelled", 0, L31="Returned", -0.1*H31, C31="Electronics", 0.14*H31, C31="Appliances", 0.16*H31, C31="Fashion", 0.26*H31, C31="Home &amp; Kitchen", 0.22*H31, C31="Beauty &amp; Personal Care", 0.3*H31, C31="Sports &amp; Fitness", 0.2*H31, TRUE, 0.15*H31), 2)</f>
        <v>#NAME?</v>
      </c>
      <c r="J31" s="19" t="s">
        <v>46</v>
      </c>
      <c r="K31" s="19" t="s">
        <v>47</v>
      </c>
      <c r="L31" s="16" t="s">
        <v>24</v>
      </c>
      <c r="M31" s="19" t="s">
        <v>64</v>
      </c>
    </row>
    <row r="32" spans="1:13" ht="19.5" customHeight="1">
      <c r="A32" s="16" t="s">
        <v>123</v>
      </c>
      <c r="B32" s="17">
        <v>45371</v>
      </c>
      <c r="C32" s="19" t="s">
        <v>5</v>
      </c>
      <c r="D32" s="19" t="s">
        <v>124</v>
      </c>
      <c r="E32" s="3">
        <v>2</v>
      </c>
      <c r="F32" s="5">
        <v>699</v>
      </c>
      <c r="G32" s="4">
        <v>0.15</v>
      </c>
      <c r="H32" s="5">
        <f t="shared" si="0"/>
        <v>1188.3</v>
      </c>
      <c r="I32" s="7" t="e">
        <f ca="1">ROUND(_xludf.IFS(L32="Cancelled", 0, L32="Returned", -0.1*H32, C32="Electronics", 0.14*H32, C32="Appliances", 0.16*H32, C32="Fashion", 0.26*H32, C32="Home &amp; Kitchen", 0.22*H32, C32="Beauty &amp; Personal Care", 0.3*H32, C32="Sports &amp; Fitness", 0.2*H32, TRUE, 0.15*H32), 2)</f>
        <v>#NAME?</v>
      </c>
      <c r="J32" s="19" t="s">
        <v>60</v>
      </c>
      <c r="K32" s="19" t="s">
        <v>56</v>
      </c>
      <c r="L32" s="16" t="s">
        <v>24</v>
      </c>
      <c r="M32" s="19" t="s">
        <v>57</v>
      </c>
    </row>
    <row r="33" spans="1:13" ht="19.5" customHeight="1">
      <c r="A33" s="16" t="s">
        <v>125</v>
      </c>
      <c r="B33" s="17">
        <v>45373</v>
      </c>
      <c r="C33" s="19" t="s">
        <v>6</v>
      </c>
      <c r="D33" s="19" t="s">
        <v>126</v>
      </c>
      <c r="E33" s="3">
        <v>3</v>
      </c>
      <c r="F33" s="5">
        <v>849</v>
      </c>
      <c r="G33" s="4">
        <v>0.2</v>
      </c>
      <c r="H33" s="5">
        <f t="shared" si="0"/>
        <v>2037.6</v>
      </c>
      <c r="I33" s="7" t="e">
        <f ca="1">ROUND(_xludf.IFS(L33="Cancelled", 0, L33="Returned", -0.1*H33, C33="Electronics", 0.14*H33, C33="Appliances", 0.16*H33, C33="Fashion", 0.26*H33, C33="Home &amp; Kitchen", 0.22*H33, C33="Beauty &amp; Personal Care", 0.3*H33, C33="Sports &amp; Fitness", 0.2*H33, TRUE, 0.15*H33), 2)</f>
        <v>#NAME?</v>
      </c>
      <c r="J33" s="19" t="s">
        <v>79</v>
      </c>
      <c r="K33" s="19" t="s">
        <v>47</v>
      </c>
      <c r="L33" s="16" t="s">
        <v>24</v>
      </c>
      <c r="M33" s="19" t="s">
        <v>76</v>
      </c>
    </row>
    <row r="34" spans="1:13" ht="19.5" customHeight="1">
      <c r="A34" s="16" t="s">
        <v>127</v>
      </c>
      <c r="B34" s="17">
        <v>45376</v>
      </c>
      <c r="C34" s="19" t="s">
        <v>4</v>
      </c>
      <c r="D34" s="19" t="s">
        <v>128</v>
      </c>
      <c r="E34" s="3">
        <v>1</v>
      </c>
      <c r="F34" s="5">
        <v>1699</v>
      </c>
      <c r="G34" s="4">
        <v>0.35</v>
      </c>
      <c r="H34" s="5">
        <f t="shared" si="0"/>
        <v>1104.3499999999999</v>
      </c>
      <c r="I34" s="7" t="e">
        <f ca="1">ROUND(_xludf.IFS(L34="Cancelled", 0, L34="Returned", -0.1*H34, C34="Electronics", 0.14*H34, C34="Appliances", 0.16*H34, C34="Fashion", 0.26*H34, C34="Home &amp; Kitchen", 0.22*H34, C34="Beauty &amp; Personal Care", 0.3*H34, C34="Sports &amp; Fitness", 0.2*H34, TRUE, 0.15*H34), 2)</f>
        <v>#NAME?</v>
      </c>
      <c r="J34" s="19" t="s">
        <v>46</v>
      </c>
      <c r="K34" s="19" t="s">
        <v>47</v>
      </c>
      <c r="L34" s="16" t="s">
        <v>24</v>
      </c>
      <c r="M34" s="19" t="s">
        <v>61</v>
      </c>
    </row>
    <row r="35" spans="1:13" ht="19.5" customHeight="1">
      <c r="A35" s="16" t="s">
        <v>129</v>
      </c>
      <c r="B35" s="17">
        <v>45378</v>
      </c>
      <c r="C35" s="19" t="s">
        <v>7</v>
      </c>
      <c r="D35" s="19" t="s">
        <v>130</v>
      </c>
      <c r="E35" s="3">
        <v>1</v>
      </c>
      <c r="F35" s="5">
        <v>14999</v>
      </c>
      <c r="G35" s="4">
        <v>0.15</v>
      </c>
      <c r="H35" s="5">
        <f t="shared" si="0"/>
        <v>12749.15</v>
      </c>
      <c r="I35" s="7" t="e">
        <f ca="1">ROUND(_xludf.IFS(L35="Cancelled", 0, L35="Returned", -0.1*H35, C35="Electronics", 0.14*H35, C35="Appliances", 0.16*H35, C35="Fashion", 0.26*H35, C35="Home &amp; Kitchen", 0.22*H35, C35="Beauty &amp; Personal Care", 0.3*H35, C35="Sports &amp; Fitness", 0.2*H35, TRUE, 0.15*H35), 2)</f>
        <v>#NAME?</v>
      </c>
      <c r="J35" s="19" t="s">
        <v>51</v>
      </c>
      <c r="K35" s="19" t="s">
        <v>47</v>
      </c>
      <c r="L35" s="16" t="s">
        <v>24</v>
      </c>
      <c r="M35" s="19" t="s">
        <v>67</v>
      </c>
    </row>
    <row r="36" spans="1:13" ht="19.5" customHeight="1">
      <c r="A36" s="16" t="s">
        <v>131</v>
      </c>
      <c r="B36" s="17">
        <v>45381</v>
      </c>
      <c r="C36" s="19" t="s">
        <v>3</v>
      </c>
      <c r="D36" s="19" t="s">
        <v>132</v>
      </c>
      <c r="E36" s="3">
        <v>2</v>
      </c>
      <c r="F36" s="5">
        <v>449</v>
      </c>
      <c r="G36" s="4">
        <v>0.1</v>
      </c>
      <c r="H36" s="5">
        <f t="shared" si="0"/>
        <v>808.2</v>
      </c>
      <c r="I36" s="7" t="e">
        <f ca="1">ROUND(_xludf.IFS(L36="Cancelled", 0, L36="Returned", -0.1*H36, C36="Electronics", 0.14*H36, C36="Appliances", 0.16*H36, C36="Fashion", 0.26*H36, C36="Home &amp; Kitchen", 0.22*H36, C36="Beauty &amp; Personal Care", 0.3*H36, C36="Sports &amp; Fitness", 0.2*H36, TRUE, 0.15*H36), 2)</f>
        <v>#NAME?</v>
      </c>
      <c r="J36" s="19" t="s">
        <v>66</v>
      </c>
      <c r="K36" s="19" t="s">
        <v>47</v>
      </c>
      <c r="L36" s="16" t="s">
        <v>24</v>
      </c>
      <c r="M36" s="19" t="s">
        <v>80</v>
      </c>
    </row>
    <row r="37" spans="1:13" ht="19.5" customHeight="1">
      <c r="A37" s="16" t="s">
        <v>133</v>
      </c>
      <c r="B37" s="17">
        <v>45384</v>
      </c>
      <c r="C37" s="19" t="s">
        <v>6</v>
      </c>
      <c r="D37" s="19" t="s">
        <v>134</v>
      </c>
      <c r="E37" s="3">
        <v>1</v>
      </c>
      <c r="F37" s="5">
        <v>2299</v>
      </c>
      <c r="G37" s="4">
        <v>0.12</v>
      </c>
      <c r="H37" s="5">
        <f t="shared" si="0"/>
        <v>2023.12</v>
      </c>
      <c r="I37" s="7" t="e">
        <f ca="1">ROUND(_xludf.IFS(L37="Cancelled", 0, L37="Returned", -0.1*H37, C37="Electronics", 0.14*H37, C37="Appliances", 0.16*H37, C37="Fashion", 0.26*H37, C37="Home &amp; Kitchen", 0.22*H37, C37="Beauty &amp; Personal Care", 0.3*H37, C37="Sports &amp; Fitness", 0.2*H37, TRUE, 0.15*H37), 2)</f>
        <v>#NAME?</v>
      </c>
      <c r="J37" s="19" t="s">
        <v>46</v>
      </c>
      <c r="K37" s="19" t="s">
        <v>56</v>
      </c>
      <c r="L37" s="16" t="s">
        <v>26</v>
      </c>
      <c r="M37" s="19" t="s">
        <v>48</v>
      </c>
    </row>
    <row r="38" spans="1:13" ht="19.5" customHeight="1">
      <c r="A38" s="16" t="s">
        <v>135</v>
      </c>
      <c r="B38" s="17">
        <v>45387</v>
      </c>
      <c r="C38" s="19" t="s">
        <v>2</v>
      </c>
      <c r="D38" s="19" t="s">
        <v>136</v>
      </c>
      <c r="E38" s="3">
        <v>1</v>
      </c>
      <c r="F38" s="5">
        <v>1475</v>
      </c>
      <c r="G38" s="4">
        <v>0.05</v>
      </c>
      <c r="H38" s="5">
        <f t="shared" si="0"/>
        <v>1401.25</v>
      </c>
      <c r="I38" s="7" t="e">
        <f ca="1">ROUND(_xludf.IFS(L38="Cancelled", 0, L38="Returned", -0.1*H38, C38="Electronics", 0.14*H38, C38="Appliances", 0.16*H38, C38="Fashion", 0.26*H38, C38="Home &amp; Kitchen", 0.22*H38, C38="Beauty &amp; Personal Care", 0.3*H38, C38="Sports &amp; Fitness", 0.2*H38, TRUE, 0.15*H38), 2)</f>
        <v>#NAME?</v>
      </c>
      <c r="J38" s="19" t="s">
        <v>51</v>
      </c>
      <c r="K38" s="19" t="s">
        <v>47</v>
      </c>
      <c r="L38" s="16" t="s">
        <v>24</v>
      </c>
      <c r="M38" s="19" t="s">
        <v>52</v>
      </c>
    </row>
    <row r="39" spans="1:13" ht="19.5" customHeight="1">
      <c r="A39" s="16" t="s">
        <v>137</v>
      </c>
      <c r="B39" s="17">
        <v>45389</v>
      </c>
      <c r="C39" s="19" t="s">
        <v>5</v>
      </c>
      <c r="D39" s="19" t="s">
        <v>138</v>
      </c>
      <c r="E39" s="3">
        <v>2</v>
      </c>
      <c r="F39" s="5">
        <v>599</v>
      </c>
      <c r="G39" s="4">
        <v>0.1</v>
      </c>
      <c r="H39" s="5">
        <f t="shared" si="0"/>
        <v>1078.2</v>
      </c>
      <c r="I39" s="7" t="e">
        <f ca="1">ROUND(_xludf.IFS(L39="Cancelled", 0, L39="Returned", -0.1*H39, C39="Electronics", 0.14*H39, C39="Appliances", 0.16*H39, C39="Fashion", 0.26*H39, C39="Home &amp; Kitchen", 0.22*H39, C39="Beauty &amp; Personal Care", 0.3*H39, C39="Sports &amp; Fitness", 0.2*H39, TRUE, 0.15*H39), 2)</f>
        <v>#NAME?</v>
      </c>
      <c r="J39" s="19" t="s">
        <v>60</v>
      </c>
      <c r="K39" s="19" t="s">
        <v>47</v>
      </c>
      <c r="L39" s="16" t="s">
        <v>24</v>
      </c>
      <c r="M39" s="19" t="s">
        <v>73</v>
      </c>
    </row>
    <row r="40" spans="1:13" ht="19.5" customHeight="1">
      <c r="A40" s="16" t="s">
        <v>139</v>
      </c>
      <c r="B40" s="17">
        <v>45392</v>
      </c>
      <c r="C40" s="19" t="s">
        <v>7</v>
      </c>
      <c r="D40" s="19" t="s">
        <v>140</v>
      </c>
      <c r="E40" s="3">
        <v>1</v>
      </c>
      <c r="F40" s="5">
        <v>6299</v>
      </c>
      <c r="G40" s="4">
        <v>0.18</v>
      </c>
      <c r="H40" s="5">
        <f t="shared" si="0"/>
        <v>5165.18</v>
      </c>
      <c r="I40" s="7" t="e">
        <f ca="1">ROUND(_xludf.IFS(L40="Cancelled", 0, L40="Returned", -0.1*H40, C40="Electronics", 0.14*H40, C40="Appliances", 0.16*H40, C40="Fashion", 0.26*H40, C40="Home &amp; Kitchen", 0.22*H40, C40="Beauty &amp; Personal Care", 0.3*H40, C40="Sports &amp; Fitness", 0.2*H40, TRUE, 0.15*H40), 2)</f>
        <v>#NAME?</v>
      </c>
      <c r="J40" s="19" t="s">
        <v>55</v>
      </c>
      <c r="K40" s="19" t="s">
        <v>47</v>
      </c>
      <c r="L40" s="16" t="s">
        <v>24</v>
      </c>
      <c r="M40" s="19" t="s">
        <v>64</v>
      </c>
    </row>
    <row r="41" spans="1:13" ht="19.5" customHeight="1">
      <c r="A41" s="16" t="s">
        <v>141</v>
      </c>
      <c r="B41" s="17">
        <v>45394</v>
      </c>
      <c r="C41" s="19" t="s">
        <v>4</v>
      </c>
      <c r="D41" s="19" t="s">
        <v>32</v>
      </c>
      <c r="E41" s="3">
        <v>2</v>
      </c>
      <c r="F41" s="5">
        <v>1499</v>
      </c>
      <c r="G41" s="4">
        <v>0.25</v>
      </c>
      <c r="H41" s="5">
        <f t="shared" si="0"/>
        <v>2248.5</v>
      </c>
      <c r="I41" s="7" t="e">
        <f ca="1">ROUND(_xludf.IFS(L41="Cancelled", 0, L41="Returned", -0.1*H41, C41="Electronics", 0.14*H41, C41="Appliances", 0.16*H41, C41="Fashion", 0.26*H41, C41="Home &amp; Kitchen", 0.22*H41, C41="Beauty &amp; Personal Care", 0.3*H41, C41="Sports &amp; Fitness", 0.2*H41, TRUE, 0.15*H41), 2)</f>
        <v>#NAME?</v>
      </c>
      <c r="J41" s="19" t="s">
        <v>51</v>
      </c>
      <c r="K41" s="19" t="s">
        <v>56</v>
      </c>
      <c r="L41" s="16" t="s">
        <v>23</v>
      </c>
      <c r="M41" s="19" t="s">
        <v>90</v>
      </c>
    </row>
    <row r="42" spans="1:13" ht="19.5" customHeight="1">
      <c r="A42" s="16" t="s">
        <v>142</v>
      </c>
      <c r="B42" s="17">
        <v>45397</v>
      </c>
      <c r="C42" s="19" t="s">
        <v>6</v>
      </c>
      <c r="D42" s="19" t="s">
        <v>16</v>
      </c>
      <c r="E42" s="3">
        <v>1</v>
      </c>
      <c r="F42" s="5">
        <v>24999</v>
      </c>
      <c r="G42" s="4">
        <v>0.2</v>
      </c>
      <c r="H42" s="5">
        <f t="shared" si="0"/>
        <v>19999.2</v>
      </c>
      <c r="I42" s="7" t="e">
        <f ca="1">ROUND(_xludf.IFS(L42="Cancelled", 0, L42="Returned", -0.1*H42, C42="Electronics", 0.14*H42, C42="Appliances", 0.16*H42, C42="Fashion", 0.26*H42, C42="Home &amp; Kitchen", 0.22*H42, C42="Beauty &amp; Personal Care", 0.3*H42, C42="Sports &amp; Fitness", 0.2*H42, TRUE, 0.15*H42), 2)</f>
        <v>#NAME?</v>
      </c>
      <c r="J42" s="19" t="s">
        <v>51</v>
      </c>
      <c r="K42" s="19" t="s">
        <v>47</v>
      </c>
      <c r="L42" s="16" t="s">
        <v>24</v>
      </c>
      <c r="M42" s="19" t="s">
        <v>48</v>
      </c>
    </row>
    <row r="43" spans="1:13" ht="19.5" customHeight="1">
      <c r="A43" s="16" t="s">
        <v>143</v>
      </c>
      <c r="B43" s="17">
        <v>45400</v>
      </c>
      <c r="C43" s="19" t="s">
        <v>3</v>
      </c>
      <c r="D43" s="19" t="s">
        <v>144</v>
      </c>
      <c r="E43" s="3">
        <v>3</v>
      </c>
      <c r="F43" s="5">
        <v>349</v>
      </c>
      <c r="G43" s="4">
        <v>0.1</v>
      </c>
      <c r="H43" s="5">
        <f t="shared" si="0"/>
        <v>942.3</v>
      </c>
      <c r="I43" s="7" t="e">
        <f ca="1">ROUND(_xludf.IFS(L43="Cancelled", 0, L43="Returned", -0.1*H43, C43="Electronics", 0.14*H43, C43="Appliances", 0.16*H43, C43="Fashion", 0.26*H43, C43="Home &amp; Kitchen", 0.22*H43, C43="Beauty &amp; Personal Care", 0.3*H43, C43="Sports &amp; Fitness", 0.2*H43, TRUE, 0.15*H43), 2)</f>
        <v>#NAME?</v>
      </c>
      <c r="J43" s="19" t="s">
        <v>46</v>
      </c>
      <c r="K43" s="19" t="s">
        <v>47</v>
      </c>
      <c r="L43" s="16" t="s">
        <v>24</v>
      </c>
      <c r="M43" s="19" t="s">
        <v>70</v>
      </c>
    </row>
    <row r="44" spans="1:13" ht="19.5" customHeight="1">
      <c r="A44" s="16" t="s">
        <v>145</v>
      </c>
      <c r="B44" s="17">
        <v>45402</v>
      </c>
      <c r="C44" s="19" t="s">
        <v>2</v>
      </c>
      <c r="D44" s="19" t="s">
        <v>146</v>
      </c>
      <c r="E44" s="3">
        <v>2</v>
      </c>
      <c r="F44" s="5">
        <v>345</v>
      </c>
      <c r="G44" s="4">
        <v>0.15</v>
      </c>
      <c r="H44" s="5">
        <f t="shared" si="0"/>
        <v>586.5</v>
      </c>
      <c r="I44" s="7" t="e">
        <f ca="1">ROUND(_xludf.IFS(L44="Cancelled", 0, L44="Returned", -0.1*H44, C44="Electronics", 0.14*H44, C44="Appliances", 0.16*H44, C44="Fashion", 0.26*H44, C44="Home &amp; Kitchen", 0.22*H44, C44="Beauty &amp; Personal Care", 0.3*H44, C44="Sports &amp; Fitness", 0.2*H44, TRUE, 0.15*H44), 2)</f>
        <v>#NAME?</v>
      </c>
      <c r="J44" s="19" t="s">
        <v>66</v>
      </c>
      <c r="K44" s="19" t="s">
        <v>47</v>
      </c>
      <c r="L44" s="16" t="s">
        <v>24</v>
      </c>
      <c r="M44" s="19" t="s">
        <v>57</v>
      </c>
    </row>
    <row r="45" spans="1:13" ht="19.5" customHeight="1">
      <c r="A45" s="16" t="s">
        <v>147</v>
      </c>
      <c r="B45" s="17">
        <v>45405</v>
      </c>
      <c r="C45" s="19" t="s">
        <v>5</v>
      </c>
      <c r="D45" s="19" t="s">
        <v>11</v>
      </c>
      <c r="E45" s="3">
        <v>1</v>
      </c>
      <c r="F45" s="5">
        <v>28990</v>
      </c>
      <c r="G45" s="4">
        <v>0.22</v>
      </c>
      <c r="H45" s="5">
        <f t="shared" si="0"/>
        <v>22612.2</v>
      </c>
      <c r="I45" s="7" t="e">
        <f ca="1">ROUND(_xludf.IFS(L45="Cancelled", 0, L45="Returned", -0.1*H45, C45="Electronics", 0.14*H45, C45="Appliances", 0.16*H45, C45="Fashion", 0.26*H45, C45="Home &amp; Kitchen", 0.22*H45, C45="Beauty &amp; Personal Care", 0.3*H45, C45="Sports &amp; Fitness", 0.2*H45, TRUE, 0.15*H45), 2)</f>
        <v>#NAME?</v>
      </c>
      <c r="J45" s="19" t="s">
        <v>51</v>
      </c>
      <c r="K45" s="19" t="s">
        <v>56</v>
      </c>
      <c r="L45" s="16" t="s">
        <v>24</v>
      </c>
      <c r="M45" s="19" t="s">
        <v>52</v>
      </c>
    </row>
    <row r="46" spans="1:13" ht="19.5" customHeight="1">
      <c r="A46" s="16" t="s">
        <v>148</v>
      </c>
      <c r="B46" s="17">
        <v>45408</v>
      </c>
      <c r="C46" s="19" t="s">
        <v>6</v>
      </c>
      <c r="D46" s="19" t="s">
        <v>20</v>
      </c>
      <c r="E46" s="3">
        <v>1</v>
      </c>
      <c r="F46" s="5">
        <v>29990</v>
      </c>
      <c r="G46" s="4">
        <v>0.1</v>
      </c>
      <c r="H46" s="5">
        <f t="shared" si="0"/>
        <v>26991</v>
      </c>
      <c r="I46" s="7" t="e">
        <f ca="1">ROUND(_xludf.IFS(L46="Cancelled", 0, L46="Returned", -0.1*H46, C46="Electronics", 0.14*H46, C46="Appliances", 0.16*H46, C46="Fashion", 0.26*H46, C46="Home &amp; Kitchen", 0.22*H46, C46="Beauty &amp; Personal Care", 0.3*H46, C46="Sports &amp; Fitness", 0.2*H46, TRUE, 0.15*H46), 2)</f>
        <v>#NAME?</v>
      </c>
      <c r="J46" s="19" t="s">
        <v>51</v>
      </c>
      <c r="K46" s="19" t="s">
        <v>47</v>
      </c>
      <c r="L46" s="16" t="s">
        <v>24</v>
      </c>
      <c r="M46" s="19" t="s">
        <v>64</v>
      </c>
    </row>
    <row r="47" spans="1:13" ht="19.5" customHeight="1">
      <c r="A47" s="16" t="s">
        <v>149</v>
      </c>
      <c r="B47" s="17">
        <v>45410</v>
      </c>
      <c r="C47" s="19" t="s">
        <v>4</v>
      </c>
      <c r="D47" s="19" t="s">
        <v>150</v>
      </c>
      <c r="E47" s="3">
        <v>2</v>
      </c>
      <c r="F47" s="5">
        <v>1599</v>
      </c>
      <c r="G47" s="4">
        <v>0.3</v>
      </c>
      <c r="H47" s="5">
        <f t="shared" si="0"/>
        <v>2238.6</v>
      </c>
      <c r="I47" s="7" t="e">
        <f ca="1">ROUND(_xludf.IFS(L47="Cancelled", 0, L47="Returned", -0.1*H47, C47="Electronics", 0.14*H47, C47="Appliances", 0.16*H47, C47="Fashion", 0.26*H47, C47="Home &amp; Kitchen", 0.22*H47, C47="Beauty &amp; Personal Care", 0.3*H47, C47="Sports &amp; Fitness", 0.2*H47, TRUE, 0.15*H47), 2)</f>
        <v>#NAME?</v>
      </c>
      <c r="J47" s="19" t="s">
        <v>46</v>
      </c>
      <c r="K47" s="19" t="s">
        <v>47</v>
      </c>
      <c r="L47" s="16" t="s">
        <v>24</v>
      </c>
      <c r="M47" s="19" t="s">
        <v>67</v>
      </c>
    </row>
    <row r="48" spans="1:13" ht="19.5" customHeight="1">
      <c r="A48" s="16" t="s">
        <v>151</v>
      </c>
      <c r="B48" s="17">
        <v>45413</v>
      </c>
      <c r="C48" s="19" t="s">
        <v>7</v>
      </c>
      <c r="D48" s="19" t="s">
        <v>15</v>
      </c>
      <c r="E48" s="3">
        <v>1</v>
      </c>
      <c r="F48" s="5">
        <v>27490</v>
      </c>
      <c r="G48" s="4">
        <v>0.15</v>
      </c>
      <c r="H48" s="5">
        <f t="shared" si="0"/>
        <v>23366.5</v>
      </c>
      <c r="I48" s="7" t="e">
        <f ca="1">ROUND(_xludf.IFS(L48="Cancelled", 0, L48="Returned", -0.1*H48, C48="Electronics", 0.14*H48, C48="Appliances", 0.16*H48, C48="Fashion", 0.26*H48, C48="Home &amp; Kitchen", 0.22*H48, C48="Beauty &amp; Personal Care", 0.3*H48, C48="Sports &amp; Fitness", 0.2*H48, TRUE, 0.15*H48), 2)</f>
        <v>#NAME?</v>
      </c>
      <c r="J48" s="19" t="s">
        <v>55</v>
      </c>
      <c r="K48" s="19" t="s">
        <v>47</v>
      </c>
      <c r="L48" s="16" t="s">
        <v>24</v>
      </c>
      <c r="M48" s="19" t="s">
        <v>48</v>
      </c>
    </row>
    <row r="49" spans="1:13" ht="19.5" customHeight="1">
      <c r="A49" s="16" t="s">
        <v>152</v>
      </c>
      <c r="B49" s="17">
        <v>45416</v>
      </c>
      <c r="C49" s="19" t="s">
        <v>3</v>
      </c>
      <c r="D49" s="19" t="s">
        <v>153</v>
      </c>
      <c r="E49" s="3">
        <v>1</v>
      </c>
      <c r="F49" s="5">
        <v>2699</v>
      </c>
      <c r="G49" s="4">
        <v>0.18</v>
      </c>
      <c r="H49" s="5">
        <f t="shared" si="0"/>
        <v>2213.1799999999998</v>
      </c>
      <c r="I49" s="7" t="e">
        <f ca="1">ROUND(_xludf.IFS(L49="Cancelled", 0, L49="Returned", -0.1*H49, C49="Electronics", 0.14*H49, C49="Appliances", 0.16*H49, C49="Fashion", 0.26*H49, C49="Home &amp; Kitchen", 0.22*H49, C49="Beauty &amp; Personal Care", 0.3*H49, C49="Sports &amp; Fitness", 0.2*H49, TRUE, 0.15*H49), 2)</f>
        <v>#NAME?</v>
      </c>
      <c r="J49" s="19" t="s">
        <v>46</v>
      </c>
      <c r="K49" s="19" t="s">
        <v>56</v>
      </c>
      <c r="L49" s="16" t="s">
        <v>26</v>
      </c>
      <c r="M49" s="19" t="s">
        <v>61</v>
      </c>
    </row>
    <row r="50" spans="1:13" ht="19.5" customHeight="1">
      <c r="A50" s="16" t="s">
        <v>154</v>
      </c>
      <c r="B50" s="17">
        <v>45418</v>
      </c>
      <c r="C50" s="19" t="s">
        <v>2</v>
      </c>
      <c r="D50" s="19" t="s">
        <v>155</v>
      </c>
      <c r="E50" s="3">
        <v>2</v>
      </c>
      <c r="F50" s="5">
        <v>420</v>
      </c>
      <c r="G50" s="4">
        <v>0.1</v>
      </c>
      <c r="H50" s="5">
        <f t="shared" si="0"/>
        <v>756</v>
      </c>
      <c r="I50" s="7" t="e">
        <f ca="1">ROUND(_xludf.IFS(L50="Cancelled", 0, L50="Returned", -0.1*H50, C50="Electronics", 0.14*H50, C50="Appliances", 0.16*H50, C50="Fashion", 0.26*H50, C50="Home &amp; Kitchen", 0.22*H50, C50="Beauty &amp; Personal Care", 0.3*H50, C50="Sports &amp; Fitness", 0.2*H50, TRUE, 0.15*H50), 2)</f>
        <v>#NAME?</v>
      </c>
      <c r="J50" s="19" t="s">
        <v>60</v>
      </c>
      <c r="K50" s="19" t="s">
        <v>47</v>
      </c>
      <c r="L50" s="16" t="s">
        <v>24</v>
      </c>
      <c r="M50" s="19" t="s">
        <v>106</v>
      </c>
    </row>
    <row r="51" spans="1:13" ht="19.5" customHeight="1">
      <c r="A51" s="16" t="s">
        <v>156</v>
      </c>
      <c r="B51" s="17">
        <v>45421</v>
      </c>
      <c r="C51" s="19" t="s">
        <v>6</v>
      </c>
      <c r="D51" s="19" t="s">
        <v>157</v>
      </c>
      <c r="E51" s="3">
        <v>1</v>
      </c>
      <c r="F51" s="5">
        <v>3199</v>
      </c>
      <c r="G51" s="4">
        <v>0.14000000000000001</v>
      </c>
      <c r="H51" s="5">
        <f t="shared" si="0"/>
        <v>2751.14</v>
      </c>
      <c r="I51" s="7" t="e">
        <f ca="1">ROUND(_xludf.IFS(L51="Cancelled", 0, L51="Returned", -0.1*H51, C51="Electronics", 0.14*H51, C51="Appliances", 0.16*H51, C51="Fashion", 0.26*H51, C51="Home &amp; Kitchen", 0.22*H51, C51="Beauty &amp; Personal Care", 0.3*H51, C51="Sports &amp; Fitness", 0.2*H51, TRUE, 0.15*H51), 2)</f>
        <v>#NAME?</v>
      </c>
      <c r="J51" s="19" t="s">
        <v>66</v>
      </c>
      <c r="K51" s="19" t="s">
        <v>47</v>
      </c>
      <c r="L51" s="16" t="s">
        <v>24</v>
      </c>
      <c r="M51" s="19" t="s">
        <v>52</v>
      </c>
    </row>
    <row r="52" spans="1:13" ht="12.75">
      <c r="A52" s="16" t="s">
        <v>158</v>
      </c>
      <c r="B52" s="17">
        <v>45423</v>
      </c>
      <c r="C52" s="19" t="s">
        <v>4</v>
      </c>
      <c r="D52" s="19" t="s">
        <v>159</v>
      </c>
      <c r="E52" s="3">
        <v>2</v>
      </c>
      <c r="F52" s="5">
        <v>1299</v>
      </c>
      <c r="G52" s="4">
        <v>0.2</v>
      </c>
      <c r="H52" s="5">
        <f t="shared" si="0"/>
        <v>2078.4</v>
      </c>
      <c r="I52" s="7" t="e">
        <f ca="1">ROUND(_xludf.IFS(L52="Cancelled", 0, L52="Returned", -0.1*H52, C52="Electronics", 0.14*H52, C52="Appliances", 0.16*H52, C52="Fashion", 0.26*H52, C52="Home &amp; Kitchen", 0.22*H52, C52="Beauty &amp; Personal Care", 0.3*H52, C52="Sports &amp; Fitness", 0.2*H52, TRUE, 0.15*H52), 2)</f>
        <v>#NAME?</v>
      </c>
      <c r="J52" s="19" t="s">
        <v>46</v>
      </c>
      <c r="K52" s="19" t="s">
        <v>47</v>
      </c>
      <c r="L52" s="16" t="s">
        <v>24</v>
      </c>
      <c r="M52" s="19" t="s">
        <v>64</v>
      </c>
    </row>
    <row r="53" spans="1:13" ht="12.75">
      <c r="A53" s="16" t="s">
        <v>160</v>
      </c>
      <c r="B53" s="17">
        <v>45426</v>
      </c>
      <c r="C53" s="19" t="s">
        <v>3</v>
      </c>
      <c r="D53" s="19" t="s">
        <v>161</v>
      </c>
      <c r="E53" s="3">
        <v>1</v>
      </c>
      <c r="F53" s="5">
        <v>2150</v>
      </c>
      <c r="G53" s="4">
        <v>0.12</v>
      </c>
      <c r="H53" s="5">
        <f t="shared" si="0"/>
        <v>1892</v>
      </c>
      <c r="I53" s="7" t="e">
        <f ca="1">ROUND(_xludf.IFS(L53="Cancelled", 0, L53="Returned", -0.1*H53, C53="Electronics", 0.14*H53, C53="Appliances", 0.16*H53, C53="Fashion", 0.26*H53, C53="Home &amp; Kitchen", 0.22*H53, C53="Beauty &amp; Personal Care", 0.3*H53, C53="Sports &amp; Fitness", 0.2*H53, TRUE, 0.15*H53), 2)</f>
        <v>#NAME?</v>
      </c>
      <c r="J53" s="19" t="s">
        <v>55</v>
      </c>
      <c r="K53" s="19" t="s">
        <v>47</v>
      </c>
      <c r="L53" s="16" t="s">
        <v>24</v>
      </c>
      <c r="M53" s="19" t="s">
        <v>48</v>
      </c>
    </row>
    <row r="54" spans="1:13" ht="12.75">
      <c r="A54" s="16" t="s">
        <v>162</v>
      </c>
      <c r="B54" s="17">
        <v>45428</v>
      </c>
      <c r="C54" s="19" t="s">
        <v>2</v>
      </c>
      <c r="D54" s="19" t="s">
        <v>163</v>
      </c>
      <c r="E54" s="3">
        <v>3</v>
      </c>
      <c r="F54" s="5">
        <v>445</v>
      </c>
      <c r="G54" s="4">
        <v>0.08</v>
      </c>
      <c r="H54" s="5">
        <f t="shared" si="0"/>
        <v>1228.2</v>
      </c>
      <c r="I54" s="7" t="e">
        <f ca="1">ROUND(_xludf.IFS(L54="Cancelled", 0, L54="Returned", -0.1*H54, C54="Electronics", 0.14*H54, C54="Appliances", 0.16*H54, C54="Fashion", 0.26*H54, C54="Home &amp; Kitchen", 0.22*H54, C54="Beauty &amp; Personal Care", 0.3*H54, C54="Sports &amp; Fitness", 0.2*H54, TRUE, 0.15*H54), 2)</f>
        <v>#NAME?</v>
      </c>
      <c r="J54" s="19" t="s">
        <v>46</v>
      </c>
      <c r="K54" s="19" t="s">
        <v>47</v>
      </c>
      <c r="L54" s="16" t="s">
        <v>24</v>
      </c>
      <c r="M54" s="19" t="s">
        <v>73</v>
      </c>
    </row>
    <row r="55" spans="1:13" ht="12.75">
      <c r="A55" s="16" t="s">
        <v>164</v>
      </c>
      <c r="B55" s="17">
        <v>45431</v>
      </c>
      <c r="C55" s="19" t="s">
        <v>7</v>
      </c>
      <c r="D55" s="19" t="s">
        <v>14</v>
      </c>
      <c r="E55" s="3">
        <v>1</v>
      </c>
      <c r="F55" s="5">
        <v>23990</v>
      </c>
      <c r="G55" s="4">
        <v>0.15</v>
      </c>
      <c r="H55" s="5">
        <f t="shared" si="0"/>
        <v>20391.5</v>
      </c>
      <c r="I55" s="7" t="e">
        <f ca="1">ROUND(_xludf.IFS(L55="Cancelled", 0, L55="Returned", -0.1*H55, C55="Electronics", 0.14*H55, C55="Appliances", 0.16*H55, C55="Fashion", 0.26*H55, C55="Home &amp; Kitchen", 0.22*H55, C55="Beauty &amp; Personal Care", 0.3*H55, C55="Sports &amp; Fitness", 0.2*H55, TRUE, 0.15*H55), 2)</f>
        <v>#NAME?</v>
      </c>
      <c r="J55" s="19" t="s">
        <v>51</v>
      </c>
      <c r="K55" s="19" t="s">
        <v>47</v>
      </c>
      <c r="L55" s="16" t="s">
        <v>24</v>
      </c>
      <c r="M55" s="19" t="s">
        <v>52</v>
      </c>
    </row>
    <row r="56" spans="1:13" ht="12.75">
      <c r="A56" s="16" t="s">
        <v>165</v>
      </c>
      <c r="B56" s="17">
        <v>45433</v>
      </c>
      <c r="C56" s="19" t="s">
        <v>5</v>
      </c>
      <c r="D56" s="19" t="s">
        <v>166</v>
      </c>
      <c r="E56" s="3">
        <v>4</v>
      </c>
      <c r="F56" s="5">
        <v>399</v>
      </c>
      <c r="G56" s="4">
        <v>0.05</v>
      </c>
      <c r="H56" s="5">
        <f t="shared" si="0"/>
        <v>1516.2</v>
      </c>
      <c r="I56" s="7" t="e">
        <f ca="1">ROUND(_xludf.IFS(L56="Cancelled", 0, L56="Returned", -0.1*H56, C56="Electronics", 0.14*H56, C56="Appliances", 0.16*H56, C56="Fashion", 0.26*H56, C56="Home &amp; Kitchen", 0.22*H56, C56="Beauty &amp; Personal Care", 0.3*H56, C56="Sports &amp; Fitness", 0.2*H56, TRUE, 0.15*H56), 2)</f>
        <v>#NAME?</v>
      </c>
      <c r="J56" s="19" t="s">
        <v>60</v>
      </c>
      <c r="K56" s="19" t="s">
        <v>56</v>
      </c>
      <c r="L56" s="16" t="s">
        <v>24</v>
      </c>
      <c r="M56" s="19" t="s">
        <v>109</v>
      </c>
    </row>
    <row r="57" spans="1:13" ht="12.75">
      <c r="A57" s="16" t="s">
        <v>167</v>
      </c>
      <c r="B57" s="17">
        <v>45436</v>
      </c>
      <c r="C57" s="19" t="s">
        <v>6</v>
      </c>
      <c r="D57" s="19" t="s">
        <v>168</v>
      </c>
      <c r="E57" s="3">
        <v>2</v>
      </c>
      <c r="F57" s="5">
        <v>1299</v>
      </c>
      <c r="G57" s="4">
        <v>0.15</v>
      </c>
      <c r="H57" s="5">
        <f t="shared" si="0"/>
        <v>2208.3000000000002</v>
      </c>
      <c r="I57" s="7" t="e">
        <f ca="1">ROUND(_xludf.IFS(L57="Cancelled", 0, L57="Returned", -0.1*H57, C57="Electronics", 0.14*H57, C57="Appliances", 0.16*H57, C57="Fashion", 0.26*H57, C57="Home &amp; Kitchen", 0.22*H57, C57="Beauty &amp; Personal Care", 0.3*H57, C57="Sports &amp; Fitness", 0.2*H57, TRUE, 0.15*H57), 2)</f>
        <v>#NAME?</v>
      </c>
      <c r="J57" s="19" t="s">
        <v>66</v>
      </c>
      <c r="K57" s="19" t="s">
        <v>47</v>
      </c>
      <c r="L57" s="16" t="s">
        <v>24</v>
      </c>
      <c r="M57" s="19" t="s">
        <v>48</v>
      </c>
    </row>
    <row r="58" spans="1:13" ht="12.75">
      <c r="A58" s="16" t="s">
        <v>169</v>
      </c>
      <c r="B58" s="17">
        <v>45438</v>
      </c>
      <c r="C58" s="19" t="s">
        <v>4</v>
      </c>
      <c r="D58" s="19" t="s">
        <v>170</v>
      </c>
      <c r="E58" s="3">
        <v>1</v>
      </c>
      <c r="F58" s="5">
        <v>899</v>
      </c>
      <c r="G58" s="4">
        <v>0.25</v>
      </c>
      <c r="H58" s="5">
        <f t="shared" si="0"/>
        <v>674.25</v>
      </c>
      <c r="I58" s="7" t="e">
        <f ca="1">ROUND(_xludf.IFS(L58="Cancelled", 0, L58="Returned", -0.1*H58, C58="Electronics", 0.14*H58, C58="Appliances", 0.16*H58, C58="Fashion", 0.26*H58, C58="Home &amp; Kitchen", 0.22*H58, C58="Beauty &amp; Personal Care", 0.3*H58, C58="Sports &amp; Fitness", 0.2*H58, TRUE, 0.15*H58), 2)</f>
        <v>#NAME?</v>
      </c>
      <c r="J58" s="19" t="s">
        <v>46</v>
      </c>
      <c r="K58" s="19" t="s">
        <v>47</v>
      </c>
      <c r="L58" s="16" t="s">
        <v>24</v>
      </c>
      <c r="M58" s="19" t="s">
        <v>70</v>
      </c>
    </row>
    <row r="59" spans="1:13" ht="12.75">
      <c r="A59" s="16" t="s">
        <v>171</v>
      </c>
      <c r="B59" s="17">
        <v>45441</v>
      </c>
      <c r="C59" s="19" t="s">
        <v>3</v>
      </c>
      <c r="D59" s="19" t="s">
        <v>172</v>
      </c>
      <c r="E59" s="3">
        <v>1</v>
      </c>
      <c r="F59" s="5">
        <v>2199</v>
      </c>
      <c r="G59" s="4">
        <v>0.18</v>
      </c>
      <c r="H59" s="5">
        <f t="shared" si="0"/>
        <v>1803.18</v>
      </c>
      <c r="I59" s="7" t="e">
        <f ca="1">ROUND(_xludf.IFS(L59="Cancelled", 0, L59="Returned", -0.1*H59, C59="Electronics", 0.14*H59, C59="Appliances", 0.16*H59, C59="Fashion", 0.26*H59, C59="Home &amp; Kitchen", 0.22*H59, C59="Beauty &amp; Personal Care", 0.3*H59, C59="Sports &amp; Fitness", 0.2*H59, TRUE, 0.15*H59), 2)</f>
        <v>#NAME?</v>
      </c>
      <c r="J59" s="19" t="s">
        <v>55</v>
      </c>
      <c r="K59" s="19" t="s">
        <v>56</v>
      </c>
      <c r="L59" s="16" t="s">
        <v>24</v>
      </c>
      <c r="M59" s="19" t="s">
        <v>57</v>
      </c>
    </row>
    <row r="60" spans="1:13" ht="12.75">
      <c r="A60" s="16" t="s">
        <v>173</v>
      </c>
      <c r="B60" s="17">
        <v>45443</v>
      </c>
      <c r="C60" s="19" t="s">
        <v>2</v>
      </c>
      <c r="D60" s="19" t="s">
        <v>174</v>
      </c>
      <c r="E60" s="3">
        <v>3</v>
      </c>
      <c r="F60" s="5">
        <v>260</v>
      </c>
      <c r="G60" s="4">
        <v>0.1</v>
      </c>
      <c r="H60" s="5">
        <f t="shared" si="0"/>
        <v>702</v>
      </c>
      <c r="I60" s="7" t="e">
        <f ca="1">ROUND(_xludf.IFS(L60="Cancelled", 0, L60="Returned", -0.1*H60, C60="Electronics", 0.14*H60, C60="Appliances", 0.16*H60, C60="Fashion", 0.26*H60, C60="Home &amp; Kitchen", 0.22*H60, C60="Beauty &amp; Personal Care", 0.3*H60, C60="Sports &amp; Fitness", 0.2*H60, TRUE, 0.15*H60), 2)</f>
        <v>#NAME?</v>
      </c>
      <c r="J60" s="19" t="s">
        <v>60</v>
      </c>
      <c r="K60" s="19" t="s">
        <v>47</v>
      </c>
      <c r="L60" s="16" t="s">
        <v>24</v>
      </c>
      <c r="M60" s="19" t="s">
        <v>61</v>
      </c>
    </row>
    <row r="61" spans="1:13" ht="12.75">
      <c r="A61" s="16" t="s">
        <v>175</v>
      </c>
      <c r="B61" s="17">
        <v>45446</v>
      </c>
      <c r="C61" s="19" t="s">
        <v>7</v>
      </c>
      <c r="D61" s="19" t="s">
        <v>18</v>
      </c>
      <c r="E61" s="3">
        <v>1</v>
      </c>
      <c r="F61" s="5">
        <v>24490</v>
      </c>
      <c r="G61" s="4">
        <v>0.12</v>
      </c>
      <c r="H61" s="5">
        <f t="shared" si="0"/>
        <v>21551.200000000001</v>
      </c>
      <c r="I61" s="7" t="e">
        <f ca="1">ROUND(_xludf.IFS(L61="Cancelled", 0, L61="Returned", -0.1*H61, C61="Electronics", 0.14*H61, C61="Appliances", 0.16*H61, C61="Fashion", 0.26*H61, C61="Home &amp; Kitchen", 0.22*H61, C61="Beauty &amp; Personal Care", 0.3*H61, C61="Sports &amp; Fitness", 0.2*H61, TRUE, 0.15*H61), 2)</f>
        <v>#NAME?</v>
      </c>
      <c r="J61" s="19" t="s">
        <v>51</v>
      </c>
      <c r="K61" s="19" t="s">
        <v>47</v>
      </c>
      <c r="L61" s="16" t="s">
        <v>24</v>
      </c>
      <c r="M61" s="19" t="s">
        <v>64</v>
      </c>
    </row>
    <row r="62" spans="1:13" ht="12.75">
      <c r="A62" s="16" t="s">
        <v>176</v>
      </c>
      <c r="B62" s="17">
        <v>45448</v>
      </c>
      <c r="C62" s="19" t="s">
        <v>5</v>
      </c>
      <c r="D62" s="19" t="s">
        <v>177</v>
      </c>
      <c r="E62" s="3">
        <v>2</v>
      </c>
      <c r="F62" s="5">
        <v>299</v>
      </c>
      <c r="G62" s="4">
        <v>0.1</v>
      </c>
      <c r="H62" s="5">
        <f t="shared" si="0"/>
        <v>538.20000000000005</v>
      </c>
      <c r="I62" s="7" t="e">
        <f ca="1">ROUND(_xludf.IFS(L62="Cancelled", 0, L62="Returned", -0.1*H62, C62="Electronics", 0.14*H62, C62="Appliances", 0.16*H62, C62="Fashion", 0.26*H62, C62="Home &amp; Kitchen", 0.22*H62, C62="Beauty &amp; Personal Care", 0.3*H62, C62="Sports &amp; Fitness", 0.2*H62, TRUE, 0.15*H62), 2)</f>
        <v>#NAME?</v>
      </c>
      <c r="J62" s="19" t="s">
        <v>46</v>
      </c>
      <c r="K62" s="19" t="s">
        <v>56</v>
      </c>
      <c r="L62" s="16" t="s">
        <v>24</v>
      </c>
      <c r="M62" s="19" t="s">
        <v>67</v>
      </c>
    </row>
    <row r="63" spans="1:13" ht="12.75">
      <c r="A63" s="16" t="s">
        <v>178</v>
      </c>
      <c r="B63" s="17">
        <v>45451</v>
      </c>
      <c r="C63" s="19" t="s">
        <v>6</v>
      </c>
      <c r="D63" s="19" t="s">
        <v>179</v>
      </c>
      <c r="E63" s="3">
        <v>1</v>
      </c>
      <c r="F63" s="5">
        <v>15499</v>
      </c>
      <c r="G63" s="4">
        <v>0.1</v>
      </c>
      <c r="H63" s="5">
        <f t="shared" si="0"/>
        <v>13949.1</v>
      </c>
      <c r="I63" s="7" t="e">
        <f ca="1">ROUND(_xludf.IFS(L63="Cancelled", 0, L63="Returned", -0.1*H63, C63="Electronics", 0.14*H63, C63="Appliances", 0.16*H63, C63="Fashion", 0.26*H63, C63="Home &amp; Kitchen", 0.22*H63, C63="Beauty &amp; Personal Care", 0.3*H63, C63="Sports &amp; Fitness", 0.2*H63, TRUE, 0.15*H63), 2)</f>
        <v>#NAME?</v>
      </c>
      <c r="J63" s="19" t="s">
        <v>51</v>
      </c>
      <c r="K63" s="19" t="s">
        <v>47</v>
      </c>
      <c r="L63" s="16" t="s">
        <v>24</v>
      </c>
      <c r="M63" s="19" t="s">
        <v>48</v>
      </c>
    </row>
    <row r="64" spans="1:13" ht="12.75">
      <c r="A64" s="16" t="s">
        <v>180</v>
      </c>
      <c r="B64" s="17">
        <v>45453</v>
      </c>
      <c r="C64" s="19" t="s">
        <v>4</v>
      </c>
      <c r="D64" s="19" t="s">
        <v>181</v>
      </c>
      <c r="E64" s="3">
        <v>2</v>
      </c>
      <c r="F64" s="5">
        <v>999</v>
      </c>
      <c r="G64" s="4">
        <v>0.2</v>
      </c>
      <c r="H64" s="5">
        <f t="shared" si="0"/>
        <v>1598.4</v>
      </c>
      <c r="I64" s="7" t="e">
        <f ca="1">ROUND(_xludf.IFS(L64="Cancelled", 0, L64="Returned", -0.1*H64, C64="Electronics", 0.14*H64, C64="Appliances", 0.16*H64, C64="Fashion", 0.26*H64, C64="Home &amp; Kitchen", 0.22*H64, C64="Beauty &amp; Personal Care", 0.3*H64, C64="Sports &amp; Fitness", 0.2*H64, TRUE, 0.15*H64), 2)</f>
        <v>#NAME?</v>
      </c>
      <c r="J64" s="19" t="s">
        <v>46</v>
      </c>
      <c r="K64" s="19" t="s">
        <v>47</v>
      </c>
      <c r="L64" s="16" t="s">
        <v>24</v>
      </c>
      <c r="M64" s="19" t="s">
        <v>52</v>
      </c>
    </row>
    <row r="65" spans="1:13" ht="12.75">
      <c r="A65" s="16" t="s">
        <v>182</v>
      </c>
      <c r="B65" s="17">
        <v>45456</v>
      </c>
      <c r="C65" s="19" t="s">
        <v>3</v>
      </c>
      <c r="D65" s="19" t="s">
        <v>183</v>
      </c>
      <c r="E65" s="3">
        <v>3</v>
      </c>
      <c r="F65" s="5">
        <v>299</v>
      </c>
      <c r="G65" s="4">
        <v>0.15</v>
      </c>
      <c r="H65" s="5">
        <f t="shared" si="0"/>
        <v>762.45</v>
      </c>
      <c r="I65" s="7" t="e">
        <f ca="1">ROUND(_xludf.IFS(L65="Cancelled", 0, L65="Returned", -0.1*H65, C65="Electronics", 0.14*H65, C65="Appliances", 0.16*H65, C65="Fashion", 0.26*H65, C65="Home &amp; Kitchen", 0.22*H65, C65="Beauty &amp; Personal Care", 0.3*H65, C65="Sports &amp; Fitness", 0.2*H65, TRUE, 0.15*H65), 2)</f>
        <v>#NAME?</v>
      </c>
      <c r="J65" s="19" t="s">
        <v>60</v>
      </c>
      <c r="K65" s="19" t="s">
        <v>47</v>
      </c>
      <c r="L65" s="16" t="s">
        <v>24</v>
      </c>
      <c r="M65" s="19" t="s">
        <v>76</v>
      </c>
    </row>
    <row r="66" spans="1:13" ht="12.75">
      <c r="A66" s="16" t="s">
        <v>184</v>
      </c>
      <c r="B66" s="17">
        <v>45458</v>
      </c>
      <c r="C66" s="19" t="s">
        <v>2</v>
      </c>
      <c r="D66" s="19" t="s">
        <v>185</v>
      </c>
      <c r="E66" s="3">
        <v>1</v>
      </c>
      <c r="F66" s="5">
        <v>480</v>
      </c>
      <c r="G66" s="4">
        <v>0.05</v>
      </c>
      <c r="H66" s="5">
        <f t="shared" si="0"/>
        <v>456</v>
      </c>
      <c r="I66" s="7" t="e">
        <f ca="1">ROUND(_xludf.IFS(L66="Cancelled", 0, L66="Returned", -0.1*H66, C66="Electronics", 0.14*H66, C66="Appliances", 0.16*H66, C66="Fashion", 0.26*H66, C66="Home &amp; Kitchen", 0.22*H66, C66="Beauty &amp; Personal Care", 0.3*H66, C66="Sports &amp; Fitness", 0.2*H66, TRUE, 0.15*H66), 2)</f>
        <v>#NAME?</v>
      </c>
      <c r="J66" s="19" t="s">
        <v>55</v>
      </c>
      <c r="K66" s="19" t="s">
        <v>47</v>
      </c>
      <c r="L66" s="16" t="s">
        <v>24</v>
      </c>
      <c r="M66" s="19" t="s">
        <v>80</v>
      </c>
    </row>
    <row r="67" spans="1:13" ht="12.75">
      <c r="A67" s="16" t="s">
        <v>186</v>
      </c>
      <c r="B67" s="17">
        <v>45461</v>
      </c>
      <c r="C67" s="19" t="s">
        <v>7</v>
      </c>
      <c r="D67" s="19" t="s">
        <v>187</v>
      </c>
      <c r="E67" s="3">
        <v>1</v>
      </c>
      <c r="F67" s="5">
        <v>14990</v>
      </c>
      <c r="G67" s="4">
        <v>0.14000000000000001</v>
      </c>
      <c r="H67" s="5">
        <f t="shared" si="0"/>
        <v>12891.4</v>
      </c>
      <c r="I67" s="7" t="e">
        <f ca="1">ROUND(_xludf.IFS(L67="Cancelled", 0, L67="Returned", -0.1*H67, C67="Electronics", 0.14*H67, C67="Appliances", 0.16*H67, C67="Fashion", 0.26*H67, C67="Home &amp; Kitchen", 0.22*H67, C67="Beauty &amp; Personal Care", 0.3*H67, C67="Sports &amp; Fitness", 0.2*H67, TRUE, 0.15*H67), 2)</f>
        <v>#NAME?</v>
      </c>
      <c r="J67" s="19" t="s">
        <v>51</v>
      </c>
      <c r="K67" s="19" t="s">
        <v>47</v>
      </c>
      <c r="L67" s="16" t="s">
        <v>24</v>
      </c>
      <c r="M67" s="19" t="s">
        <v>114</v>
      </c>
    </row>
    <row r="68" spans="1:13" ht="12.75">
      <c r="A68" s="16" t="s">
        <v>188</v>
      </c>
      <c r="B68" s="17">
        <v>45463</v>
      </c>
      <c r="C68" s="19" t="s">
        <v>5</v>
      </c>
      <c r="D68" s="19" t="s">
        <v>189</v>
      </c>
      <c r="E68" s="3">
        <v>1</v>
      </c>
      <c r="F68" s="5">
        <v>8999</v>
      </c>
      <c r="G68" s="4">
        <v>0.2</v>
      </c>
      <c r="H68" s="5">
        <f t="shared" si="0"/>
        <v>7199.2</v>
      </c>
      <c r="I68" s="7" t="e">
        <f ca="1">ROUND(_xludf.IFS(L68="Cancelled", 0, L68="Returned", -0.1*H68, C68="Electronics", 0.14*H68, C68="Appliances", 0.16*H68, C68="Fashion", 0.26*H68, C68="Home &amp; Kitchen", 0.22*H68, C68="Beauty &amp; Personal Care", 0.3*H68, C68="Sports &amp; Fitness", 0.2*H68, TRUE, 0.15*H68), 2)</f>
        <v>#NAME?</v>
      </c>
      <c r="J68" s="19" t="s">
        <v>79</v>
      </c>
      <c r="K68" s="19" t="s">
        <v>56</v>
      </c>
      <c r="L68" s="16" t="s">
        <v>24</v>
      </c>
      <c r="M68" s="19" t="s">
        <v>90</v>
      </c>
    </row>
    <row r="69" spans="1:13" ht="12.75">
      <c r="A69" s="16" t="s">
        <v>190</v>
      </c>
      <c r="B69" s="17">
        <v>45466</v>
      </c>
      <c r="C69" s="19" t="s">
        <v>6</v>
      </c>
      <c r="D69" s="19" t="s">
        <v>191</v>
      </c>
      <c r="E69" s="3">
        <v>2</v>
      </c>
      <c r="F69" s="5">
        <v>1199</v>
      </c>
      <c r="G69" s="4">
        <v>0.18</v>
      </c>
      <c r="H69" s="5">
        <f t="shared" si="0"/>
        <v>1966.36</v>
      </c>
      <c r="I69" s="7" t="e">
        <f ca="1">ROUND(_xludf.IFS(L69="Cancelled", 0, L69="Returned", -0.1*H69, C69="Electronics", 0.14*H69, C69="Appliances", 0.16*H69, C69="Fashion", 0.26*H69, C69="Home &amp; Kitchen", 0.22*H69, C69="Beauty &amp; Personal Care", 0.3*H69, C69="Sports &amp; Fitness", 0.2*H69, TRUE, 0.15*H69), 2)</f>
        <v>#NAME?</v>
      </c>
      <c r="J69" s="19" t="s">
        <v>46</v>
      </c>
      <c r="K69" s="19" t="s">
        <v>47</v>
      </c>
      <c r="L69" s="16" t="s">
        <v>26</v>
      </c>
      <c r="M69" s="19" t="s">
        <v>64</v>
      </c>
    </row>
    <row r="70" spans="1:13" ht="12.75">
      <c r="A70" s="16" t="s">
        <v>192</v>
      </c>
      <c r="B70" s="17">
        <v>45468</v>
      </c>
      <c r="C70" s="19" t="s">
        <v>4</v>
      </c>
      <c r="D70" s="19" t="s">
        <v>30</v>
      </c>
      <c r="E70" s="3">
        <v>1</v>
      </c>
      <c r="F70" s="5">
        <v>1595</v>
      </c>
      <c r="G70" s="4">
        <v>0.15</v>
      </c>
      <c r="H70" s="5">
        <f t="shared" si="0"/>
        <v>1355.75</v>
      </c>
      <c r="I70" s="7" t="e">
        <f ca="1">ROUND(_xludf.IFS(L70="Cancelled", 0, L70="Returned", -0.1*H70, C70="Electronics", 0.14*H70, C70="Appliances", 0.16*H70, C70="Fashion", 0.26*H70, C70="Home &amp; Kitchen", 0.22*H70, C70="Beauty &amp; Personal Care", 0.3*H70, C70="Sports &amp; Fitness", 0.2*H70, TRUE, 0.15*H70), 2)</f>
        <v>#NAME?</v>
      </c>
      <c r="J70" s="19" t="s">
        <v>51</v>
      </c>
      <c r="K70" s="19" t="s">
        <v>56</v>
      </c>
      <c r="L70" s="16" t="s">
        <v>23</v>
      </c>
      <c r="M70" s="19" t="s">
        <v>48</v>
      </c>
    </row>
    <row r="71" spans="1:13" ht="12.75">
      <c r="A71" s="16" t="s">
        <v>193</v>
      </c>
      <c r="B71" s="17">
        <v>45471</v>
      </c>
      <c r="C71" s="19" t="s">
        <v>3</v>
      </c>
      <c r="D71" s="19" t="s">
        <v>194</v>
      </c>
      <c r="E71" s="3">
        <v>1</v>
      </c>
      <c r="F71" s="5">
        <v>3199</v>
      </c>
      <c r="G71" s="4">
        <v>0.12</v>
      </c>
      <c r="H71" s="5">
        <f t="shared" si="0"/>
        <v>2815.12</v>
      </c>
      <c r="I71" s="7" t="e">
        <f ca="1">ROUND(_xludf.IFS(L71="Cancelled", 0, L71="Returned", -0.1*H71, C71="Electronics", 0.14*H71, C71="Appliances", 0.16*H71, C71="Fashion", 0.26*H71, C71="Home &amp; Kitchen", 0.22*H71, C71="Beauty &amp; Personal Care", 0.3*H71, C71="Sports &amp; Fitness", 0.2*H71, TRUE, 0.15*H71), 2)</f>
        <v>#NAME?</v>
      </c>
      <c r="J71" s="19" t="s">
        <v>46</v>
      </c>
      <c r="K71" s="19" t="s">
        <v>47</v>
      </c>
      <c r="L71" s="16" t="s">
        <v>24</v>
      </c>
      <c r="M71" s="19" t="s">
        <v>52</v>
      </c>
    </row>
    <row r="72" spans="1:13" ht="12.75">
      <c r="A72" s="16" t="s">
        <v>195</v>
      </c>
      <c r="B72" s="17">
        <v>45473</v>
      </c>
      <c r="C72" s="19" t="s">
        <v>2</v>
      </c>
      <c r="D72" s="19" t="s">
        <v>196</v>
      </c>
      <c r="E72" s="3">
        <v>2</v>
      </c>
      <c r="F72" s="5">
        <v>599</v>
      </c>
      <c r="G72" s="4">
        <v>0.1</v>
      </c>
      <c r="H72" s="5">
        <f t="shared" si="0"/>
        <v>1078.2</v>
      </c>
      <c r="I72" s="7" t="e">
        <f ca="1">ROUND(_xludf.IFS(L72="Cancelled", 0, L72="Returned", -0.1*H72, C72="Electronics", 0.14*H72, C72="Appliances", 0.16*H72, C72="Fashion", 0.26*H72, C72="Home &amp; Kitchen", 0.22*H72, C72="Beauty &amp; Personal Care", 0.3*H72, C72="Sports &amp; Fitness", 0.2*H72, TRUE, 0.15*H72), 2)</f>
        <v>#NAME?</v>
      </c>
      <c r="J72" s="19" t="s">
        <v>46</v>
      </c>
      <c r="K72" s="19" t="s">
        <v>47</v>
      </c>
      <c r="L72" s="16" t="s">
        <v>24</v>
      </c>
      <c r="M72" s="19" t="s">
        <v>57</v>
      </c>
    </row>
    <row r="73" spans="1:13" ht="12.75">
      <c r="A73" s="16" t="s">
        <v>197</v>
      </c>
      <c r="B73" s="17">
        <v>45476</v>
      </c>
      <c r="C73" s="19" t="s">
        <v>7</v>
      </c>
      <c r="D73" s="19" t="s">
        <v>198</v>
      </c>
      <c r="E73" s="3">
        <v>1</v>
      </c>
      <c r="F73" s="5">
        <v>3299</v>
      </c>
      <c r="G73" s="4">
        <v>0.15</v>
      </c>
      <c r="H73" s="5">
        <f t="shared" si="0"/>
        <v>2804.15</v>
      </c>
      <c r="I73" s="7" t="e">
        <f ca="1">ROUND(_xludf.IFS(L73="Cancelled", 0, L73="Returned", -0.1*H73, C73="Electronics", 0.14*H73, C73="Appliances", 0.16*H73, C73="Fashion", 0.26*H73, C73="Home &amp; Kitchen", 0.22*H73, C73="Beauty &amp; Personal Care", 0.3*H73, C73="Sports &amp; Fitness", 0.2*H73, TRUE, 0.15*H73), 2)</f>
        <v>#NAME?</v>
      </c>
      <c r="J73" s="19" t="s">
        <v>55</v>
      </c>
      <c r="K73" s="19" t="s">
        <v>47</v>
      </c>
      <c r="L73" s="16" t="s">
        <v>24</v>
      </c>
      <c r="M73" s="19" t="s">
        <v>64</v>
      </c>
    </row>
    <row r="74" spans="1:13" ht="12.75">
      <c r="A74" s="16" t="s">
        <v>199</v>
      </c>
      <c r="B74" s="17">
        <v>45478</v>
      </c>
      <c r="C74" s="19" t="s">
        <v>5</v>
      </c>
      <c r="D74" s="19" t="s">
        <v>200</v>
      </c>
      <c r="E74" s="3">
        <v>1</v>
      </c>
      <c r="F74" s="5">
        <v>6499</v>
      </c>
      <c r="G74" s="4">
        <v>0.22</v>
      </c>
      <c r="H74" s="5">
        <f t="shared" si="0"/>
        <v>5069.22</v>
      </c>
      <c r="I74" s="7" t="e">
        <f ca="1">ROUND(_xludf.IFS(L74="Cancelled", 0, L74="Returned", -0.1*H74, C74="Electronics", 0.14*H74, C74="Appliances", 0.16*H74, C74="Fashion", 0.26*H74, C74="Home &amp; Kitchen", 0.22*H74, C74="Beauty &amp; Personal Care", 0.3*H74, C74="Sports &amp; Fitness", 0.2*H74, TRUE, 0.15*H74), 2)</f>
        <v>#NAME?</v>
      </c>
      <c r="J74" s="19" t="s">
        <v>51</v>
      </c>
      <c r="K74" s="19" t="s">
        <v>56</v>
      </c>
      <c r="L74" s="16" t="s">
        <v>24</v>
      </c>
      <c r="M74" s="19" t="s">
        <v>48</v>
      </c>
    </row>
    <row r="75" spans="1:13" ht="12.75">
      <c r="A75" s="16" t="s">
        <v>201</v>
      </c>
      <c r="B75" s="17">
        <v>45481</v>
      </c>
      <c r="C75" s="19" t="s">
        <v>6</v>
      </c>
      <c r="D75" s="19" t="s">
        <v>13</v>
      </c>
      <c r="E75" s="3">
        <v>1</v>
      </c>
      <c r="F75" s="5">
        <v>37990</v>
      </c>
      <c r="G75" s="4">
        <v>0.08</v>
      </c>
      <c r="H75" s="5">
        <f t="shared" si="0"/>
        <v>34950.800000000003</v>
      </c>
      <c r="I75" s="7" t="e">
        <f ca="1">ROUND(_xludf.IFS(L75="Cancelled", 0, L75="Returned", -0.1*H75, C75="Electronics", 0.14*H75, C75="Appliances", 0.16*H75, C75="Fashion", 0.26*H75, C75="Home &amp; Kitchen", 0.22*H75, C75="Beauty &amp; Personal Care", 0.3*H75, C75="Sports &amp; Fitness", 0.2*H75, TRUE, 0.15*H75), 2)</f>
        <v>#NAME?</v>
      </c>
      <c r="J75" s="19" t="s">
        <v>51</v>
      </c>
      <c r="K75" s="19" t="s">
        <v>47</v>
      </c>
      <c r="L75" s="16" t="s">
        <v>24</v>
      </c>
      <c r="M75" s="19" t="s">
        <v>52</v>
      </c>
    </row>
    <row r="76" spans="1:13" ht="12.75">
      <c r="A76" s="16" t="s">
        <v>202</v>
      </c>
      <c r="B76" s="17">
        <v>45483</v>
      </c>
      <c r="C76" s="19" t="s">
        <v>4</v>
      </c>
      <c r="D76" s="19" t="s">
        <v>203</v>
      </c>
      <c r="E76" s="3">
        <v>1</v>
      </c>
      <c r="F76" s="5">
        <v>1399</v>
      </c>
      <c r="G76" s="4">
        <v>0.25</v>
      </c>
      <c r="H76" s="5">
        <f t="shared" si="0"/>
        <v>1049.25</v>
      </c>
      <c r="I76" s="7" t="e">
        <f ca="1">ROUND(_xludf.IFS(L76="Cancelled", 0, L76="Returned", -0.1*H76, C76="Electronics", 0.14*H76, C76="Appliances", 0.16*H76, C76="Fashion", 0.26*H76, C76="Home &amp; Kitchen", 0.22*H76, C76="Beauty &amp; Personal Care", 0.3*H76, C76="Sports &amp; Fitness", 0.2*H76, TRUE, 0.15*H76), 2)</f>
        <v>#NAME?</v>
      </c>
      <c r="J76" s="19" t="s">
        <v>66</v>
      </c>
      <c r="K76" s="19" t="s">
        <v>47</v>
      </c>
      <c r="L76" s="16" t="s">
        <v>24</v>
      </c>
      <c r="M76" s="19" t="s">
        <v>73</v>
      </c>
    </row>
    <row r="77" spans="1:13" ht="12.75">
      <c r="A77" s="16" t="s">
        <v>204</v>
      </c>
      <c r="B77" s="17">
        <v>45486</v>
      </c>
      <c r="C77" s="19" t="s">
        <v>3</v>
      </c>
      <c r="D77" s="19" t="s">
        <v>205</v>
      </c>
      <c r="E77" s="3">
        <v>1</v>
      </c>
      <c r="F77" s="5">
        <v>1699</v>
      </c>
      <c r="G77" s="4">
        <v>0.15</v>
      </c>
      <c r="H77" s="5">
        <f t="shared" si="0"/>
        <v>1444.15</v>
      </c>
      <c r="I77" s="7" t="e">
        <f ca="1">ROUND(_xludf.IFS(L77="Cancelled", 0, L77="Returned", -0.1*H77, C77="Electronics", 0.14*H77, C77="Appliances", 0.16*H77, C77="Fashion", 0.26*H77, C77="Home &amp; Kitchen", 0.22*H77, C77="Beauty &amp; Personal Care", 0.3*H77, C77="Sports &amp; Fitness", 0.2*H77, TRUE, 0.15*H77), 2)</f>
        <v>#NAME?</v>
      </c>
      <c r="J77" s="19" t="s">
        <v>46</v>
      </c>
      <c r="K77" s="19" t="s">
        <v>47</v>
      </c>
      <c r="L77" s="16" t="s">
        <v>24</v>
      </c>
      <c r="M77" s="19" t="s">
        <v>70</v>
      </c>
    </row>
    <row r="78" spans="1:13" ht="12.75">
      <c r="A78" s="16" t="s">
        <v>206</v>
      </c>
      <c r="B78" s="17">
        <v>45488</v>
      </c>
      <c r="C78" s="19" t="s">
        <v>2</v>
      </c>
      <c r="D78" s="19" t="s">
        <v>207</v>
      </c>
      <c r="E78" s="3">
        <v>2</v>
      </c>
      <c r="F78" s="5">
        <v>349</v>
      </c>
      <c r="G78" s="4">
        <v>0.12</v>
      </c>
      <c r="H78" s="5">
        <f t="shared" si="0"/>
        <v>614.24</v>
      </c>
      <c r="I78" s="7" t="e">
        <f ca="1">ROUND(_xludf.IFS(L78="Cancelled", 0, L78="Returned", -0.1*H78, C78="Electronics", 0.14*H78, C78="Appliances", 0.16*H78, C78="Fashion", 0.26*H78, C78="Home &amp; Kitchen", 0.22*H78, C78="Beauty &amp; Personal Care", 0.3*H78, C78="Sports &amp; Fitness", 0.2*H78, TRUE, 0.15*H78), 2)</f>
        <v>#NAME?</v>
      </c>
      <c r="J78" s="19" t="s">
        <v>60</v>
      </c>
      <c r="K78" s="19" t="s">
        <v>56</v>
      </c>
      <c r="L78" s="16" t="s">
        <v>26</v>
      </c>
      <c r="M78" s="19" t="s">
        <v>61</v>
      </c>
    </row>
    <row r="79" spans="1:13" ht="12.75">
      <c r="A79" s="16" t="s">
        <v>208</v>
      </c>
      <c r="B79" s="17">
        <v>45491</v>
      </c>
      <c r="C79" s="19" t="s">
        <v>7</v>
      </c>
      <c r="D79" s="19" t="s">
        <v>209</v>
      </c>
      <c r="E79" s="3">
        <v>1</v>
      </c>
      <c r="F79" s="5">
        <v>5699</v>
      </c>
      <c r="G79" s="4">
        <v>0.18</v>
      </c>
      <c r="H79" s="5">
        <f t="shared" si="0"/>
        <v>4673.18</v>
      </c>
      <c r="I79" s="7" t="e">
        <f ca="1">ROUND(_xludf.IFS(L79="Cancelled", 0, L79="Returned", -0.1*H79, C79="Electronics", 0.14*H79, C79="Appliances", 0.16*H79, C79="Fashion", 0.26*H79, C79="Home &amp; Kitchen", 0.22*H79, C79="Beauty &amp; Personal Care", 0.3*H79, C79="Sports &amp; Fitness", 0.2*H79, TRUE, 0.15*H79), 2)</f>
        <v>#NAME?</v>
      </c>
      <c r="J79" s="19" t="s">
        <v>55</v>
      </c>
      <c r="K79" s="19" t="s">
        <v>47</v>
      </c>
      <c r="L79" s="16" t="s">
        <v>24</v>
      </c>
      <c r="M79" s="19" t="s">
        <v>67</v>
      </c>
    </row>
    <row r="80" spans="1:13" ht="12.75">
      <c r="A80" s="16" t="s">
        <v>210</v>
      </c>
      <c r="B80" s="17">
        <v>45493</v>
      </c>
      <c r="C80" s="19" t="s">
        <v>5</v>
      </c>
      <c r="D80" s="19" t="s">
        <v>211</v>
      </c>
      <c r="E80" s="3">
        <v>2</v>
      </c>
      <c r="F80" s="5">
        <v>1299</v>
      </c>
      <c r="G80" s="4">
        <v>0.15</v>
      </c>
      <c r="H80" s="5">
        <f t="shared" si="0"/>
        <v>2208.3000000000002</v>
      </c>
      <c r="I80" s="7" t="e">
        <f ca="1">ROUND(_xludf.IFS(L80="Cancelled", 0, L80="Returned", -0.1*H80, C80="Electronics", 0.14*H80, C80="Appliances", 0.16*H80, C80="Fashion", 0.26*H80, C80="Home &amp; Kitchen", 0.22*H80, C80="Beauty &amp; Personal Care", 0.3*H80, C80="Sports &amp; Fitness", 0.2*H80, TRUE, 0.15*H80), 2)</f>
        <v>#NAME?</v>
      </c>
      <c r="J80" s="19" t="s">
        <v>46</v>
      </c>
      <c r="K80" s="19" t="s">
        <v>56</v>
      </c>
      <c r="L80" s="16" t="s">
        <v>24</v>
      </c>
      <c r="M80" s="19" t="s">
        <v>76</v>
      </c>
    </row>
    <row r="81" spans="1:13" ht="12.75">
      <c r="A81" s="16" t="s">
        <v>212</v>
      </c>
      <c r="B81" s="17">
        <v>45496</v>
      </c>
      <c r="C81" s="19" t="s">
        <v>6</v>
      </c>
      <c r="D81" s="19" t="s">
        <v>213</v>
      </c>
      <c r="E81" s="3">
        <v>3</v>
      </c>
      <c r="F81" s="5">
        <v>399</v>
      </c>
      <c r="G81" s="4">
        <v>0.1</v>
      </c>
      <c r="H81" s="5">
        <f t="shared" si="0"/>
        <v>1077.3</v>
      </c>
      <c r="I81" s="7" t="e">
        <f ca="1">ROUND(_xludf.IFS(L81="Cancelled", 0, L81="Returned", -0.1*H81, C81="Electronics", 0.14*H81, C81="Appliances", 0.16*H81, C81="Fashion", 0.26*H81, C81="Home &amp; Kitchen", 0.22*H81, C81="Beauty &amp; Personal Care", 0.3*H81, C81="Sports &amp; Fitness", 0.2*H81, TRUE, 0.15*H81), 2)</f>
        <v>#NAME?</v>
      </c>
      <c r="J81" s="19" t="s">
        <v>66</v>
      </c>
      <c r="K81" s="19" t="s">
        <v>47</v>
      </c>
      <c r="L81" s="16" t="s">
        <v>24</v>
      </c>
      <c r="M81" s="19" t="s">
        <v>48</v>
      </c>
    </row>
    <row r="82" spans="1:13" ht="12.75">
      <c r="A82" s="16" t="s">
        <v>214</v>
      </c>
      <c r="B82" s="17">
        <v>45498</v>
      </c>
      <c r="C82" s="19" t="s">
        <v>4</v>
      </c>
      <c r="D82" s="19" t="s">
        <v>215</v>
      </c>
      <c r="E82" s="3">
        <v>1</v>
      </c>
      <c r="F82" s="5">
        <v>1049</v>
      </c>
      <c r="G82" s="4">
        <v>0.3</v>
      </c>
      <c r="H82" s="5">
        <f t="shared" si="0"/>
        <v>734.3</v>
      </c>
      <c r="I82" s="7" t="e">
        <f ca="1">ROUND(_xludf.IFS(L82="Cancelled", 0, L82="Returned", -0.1*H82, C82="Electronics", 0.14*H82, C82="Appliances", 0.16*H82, C82="Fashion", 0.26*H82, C82="Home &amp; Kitchen", 0.22*H82, C82="Beauty &amp; Personal Care", 0.3*H82, C82="Sports &amp; Fitness", 0.2*H82, TRUE, 0.15*H82), 2)</f>
        <v>#NAME?</v>
      </c>
      <c r="J82" s="19" t="s">
        <v>60</v>
      </c>
      <c r="K82" s="19" t="s">
        <v>47</v>
      </c>
      <c r="L82" s="16" t="s">
        <v>24</v>
      </c>
      <c r="M82" s="19" t="s">
        <v>64</v>
      </c>
    </row>
    <row r="83" spans="1:13" ht="12.75">
      <c r="A83" s="16" t="s">
        <v>216</v>
      </c>
      <c r="B83" s="17">
        <v>45501</v>
      </c>
      <c r="C83" s="19" t="s">
        <v>3</v>
      </c>
      <c r="D83" s="19" t="s">
        <v>217</v>
      </c>
      <c r="E83" s="3">
        <v>2</v>
      </c>
      <c r="F83" s="5">
        <v>849</v>
      </c>
      <c r="G83" s="4">
        <v>0.1</v>
      </c>
      <c r="H83" s="5">
        <f t="shared" si="0"/>
        <v>1528.2</v>
      </c>
      <c r="I83" s="7" t="e">
        <f ca="1">ROUND(_xludf.IFS(L83="Cancelled", 0, L83="Returned", -0.1*H83, C83="Electronics", 0.14*H83, C83="Appliances", 0.16*H83, C83="Fashion", 0.26*H83, C83="Home &amp; Kitchen", 0.22*H83, C83="Beauty &amp; Personal Care", 0.3*H83, C83="Sports &amp; Fitness", 0.2*H83, TRUE, 0.15*H83), 2)</f>
        <v>#NAME?</v>
      </c>
      <c r="J83" s="19" t="s">
        <v>79</v>
      </c>
      <c r="K83" s="19" t="s">
        <v>47</v>
      </c>
      <c r="L83" s="16" t="s">
        <v>24</v>
      </c>
      <c r="M83" s="19" t="s">
        <v>80</v>
      </c>
    </row>
    <row r="84" spans="1:13" ht="12.75">
      <c r="A84" s="16" t="s">
        <v>218</v>
      </c>
      <c r="B84" s="17">
        <v>45503</v>
      </c>
      <c r="C84" s="19" t="s">
        <v>2</v>
      </c>
      <c r="D84" s="19" t="s">
        <v>219</v>
      </c>
      <c r="E84" s="3">
        <v>2</v>
      </c>
      <c r="F84" s="5">
        <v>549</v>
      </c>
      <c r="G84" s="4">
        <v>0.15</v>
      </c>
      <c r="H84" s="5">
        <f t="shared" si="0"/>
        <v>933.3</v>
      </c>
      <c r="I84" s="7" t="e">
        <f ca="1">ROUND(_xludf.IFS(L84="Cancelled", 0, L84="Returned", -0.1*H84, C84="Electronics", 0.14*H84, C84="Appliances", 0.16*H84, C84="Fashion", 0.26*H84, C84="Home &amp; Kitchen", 0.22*H84, C84="Beauty &amp; Personal Care", 0.3*H84, C84="Sports &amp; Fitness", 0.2*H84, TRUE, 0.15*H84), 2)</f>
        <v>#NAME?</v>
      </c>
      <c r="J84" s="19" t="s">
        <v>46</v>
      </c>
      <c r="K84" s="19" t="s">
        <v>47</v>
      </c>
      <c r="L84" s="16" t="s">
        <v>24</v>
      </c>
      <c r="M84" s="19" t="s">
        <v>52</v>
      </c>
    </row>
    <row r="85" spans="1:13" ht="12.75">
      <c r="A85" s="16" t="s">
        <v>220</v>
      </c>
      <c r="B85" s="17">
        <v>45506</v>
      </c>
      <c r="C85" s="19" t="s">
        <v>7</v>
      </c>
      <c r="D85" s="19" t="s">
        <v>221</v>
      </c>
      <c r="E85" s="3">
        <v>2</v>
      </c>
      <c r="F85" s="5">
        <v>1499</v>
      </c>
      <c r="G85" s="4">
        <v>0.12</v>
      </c>
      <c r="H85" s="5">
        <f t="shared" si="0"/>
        <v>2638.24</v>
      </c>
      <c r="I85" s="7" t="e">
        <f ca="1">ROUND(_xludf.IFS(L85="Cancelled", 0, L85="Returned", -0.1*H85, C85="Electronics", 0.14*H85, C85="Appliances", 0.16*H85, C85="Fashion", 0.26*H85, C85="Home &amp; Kitchen", 0.22*H85, C85="Beauty &amp; Personal Care", 0.3*H85, C85="Sports &amp; Fitness", 0.2*H85, TRUE, 0.15*H85), 2)</f>
        <v>#NAME?</v>
      </c>
      <c r="J85" s="19" t="s">
        <v>51</v>
      </c>
      <c r="K85" s="19" t="s">
        <v>47</v>
      </c>
      <c r="L85" s="16" t="s">
        <v>24</v>
      </c>
      <c r="M85" s="19" t="s">
        <v>57</v>
      </c>
    </row>
    <row r="86" spans="1:13" ht="12.75">
      <c r="A86" s="16" t="s">
        <v>222</v>
      </c>
      <c r="B86" s="17">
        <v>45508</v>
      </c>
      <c r="C86" s="19" t="s">
        <v>5</v>
      </c>
      <c r="D86" s="19" t="s">
        <v>223</v>
      </c>
      <c r="E86" s="3">
        <v>1</v>
      </c>
      <c r="F86" s="5">
        <v>999</v>
      </c>
      <c r="G86" s="4">
        <v>0.1</v>
      </c>
      <c r="H86" s="5">
        <f t="shared" si="0"/>
        <v>899.1</v>
      </c>
      <c r="I86" s="7" t="e">
        <f ca="1">ROUND(_xludf.IFS(L86="Cancelled", 0, L86="Returned", -0.1*H86, C86="Electronics", 0.14*H86, C86="Appliances", 0.16*H86, C86="Fashion", 0.26*H86, C86="Home &amp; Kitchen", 0.22*H86, C86="Beauty &amp; Personal Care", 0.3*H86, C86="Sports &amp; Fitness", 0.2*H86, TRUE, 0.15*H86), 2)</f>
        <v>#NAME?</v>
      </c>
      <c r="J86" s="19" t="s">
        <v>46</v>
      </c>
      <c r="K86" s="19" t="s">
        <v>56</v>
      </c>
      <c r="L86" s="16" t="s">
        <v>24</v>
      </c>
      <c r="M86" s="19" t="s">
        <v>109</v>
      </c>
    </row>
    <row r="87" spans="1:13" ht="12.75">
      <c r="A87" s="16" t="s">
        <v>224</v>
      </c>
      <c r="B87" s="17">
        <v>45511</v>
      </c>
      <c r="C87" s="19" t="s">
        <v>6</v>
      </c>
      <c r="D87" s="19" t="s">
        <v>225</v>
      </c>
      <c r="E87" s="3">
        <v>1</v>
      </c>
      <c r="F87" s="5">
        <v>1699</v>
      </c>
      <c r="G87" s="4">
        <v>0.12</v>
      </c>
      <c r="H87" s="5">
        <f t="shared" si="0"/>
        <v>1495.12</v>
      </c>
      <c r="I87" s="7" t="e">
        <f ca="1">ROUND(_xludf.IFS(L87="Cancelled", 0, L87="Returned", -0.1*H87, C87="Electronics", 0.14*H87, C87="Appliances", 0.16*H87, C87="Fashion", 0.26*H87, C87="Home &amp; Kitchen", 0.22*H87, C87="Beauty &amp; Personal Care", 0.3*H87, C87="Sports &amp; Fitness", 0.2*H87, TRUE, 0.15*H87), 2)</f>
        <v>#NAME?</v>
      </c>
      <c r="J87" s="19" t="s">
        <v>66</v>
      </c>
      <c r="K87" s="19" t="s">
        <v>47</v>
      </c>
      <c r="L87" s="16" t="s">
        <v>24</v>
      </c>
      <c r="M87" s="19" t="s">
        <v>67</v>
      </c>
    </row>
    <row r="88" spans="1:13" ht="12.75">
      <c r="A88" s="16" t="s">
        <v>226</v>
      </c>
      <c r="B88" s="17">
        <v>45513</v>
      </c>
      <c r="C88" s="19" t="s">
        <v>4</v>
      </c>
      <c r="D88" s="19" t="s">
        <v>33</v>
      </c>
      <c r="E88" s="3">
        <v>2</v>
      </c>
      <c r="F88" s="5">
        <v>1149</v>
      </c>
      <c r="G88" s="4">
        <v>0.2</v>
      </c>
      <c r="H88" s="5">
        <f t="shared" si="0"/>
        <v>1838.4</v>
      </c>
      <c r="I88" s="7" t="e">
        <f ca="1">ROUND(_xludf.IFS(L88="Cancelled", 0, L88="Returned", -0.1*H88, C88="Electronics", 0.14*H88, C88="Appliances", 0.16*H88, C88="Fashion", 0.26*H88, C88="Home &amp; Kitchen", 0.22*H88, C88="Beauty &amp; Personal Care", 0.3*H88, C88="Sports &amp; Fitness", 0.2*H88, TRUE, 0.15*H88), 2)</f>
        <v>#NAME?</v>
      </c>
      <c r="J88" s="19" t="s">
        <v>51</v>
      </c>
      <c r="K88" s="19" t="s">
        <v>56</v>
      </c>
      <c r="L88" s="16" t="s">
        <v>23</v>
      </c>
      <c r="M88" s="19" t="s">
        <v>106</v>
      </c>
    </row>
    <row r="89" spans="1:13" ht="12.75">
      <c r="A89" s="16" t="s">
        <v>227</v>
      </c>
      <c r="B89" s="17">
        <v>45516</v>
      </c>
      <c r="C89" s="19" t="s">
        <v>3</v>
      </c>
      <c r="D89" s="19" t="s">
        <v>228</v>
      </c>
      <c r="E89" s="3">
        <v>1</v>
      </c>
      <c r="F89" s="5">
        <v>1695</v>
      </c>
      <c r="G89" s="4">
        <v>0.15</v>
      </c>
      <c r="H89" s="5">
        <f t="shared" si="0"/>
        <v>1440.75</v>
      </c>
      <c r="I89" s="7" t="e">
        <f ca="1">ROUND(_xludf.IFS(L89="Cancelled", 0, L89="Returned", -0.1*H89, C89="Electronics", 0.14*H89, C89="Appliances", 0.16*H89, C89="Fashion", 0.26*H89, C89="Home &amp; Kitchen", 0.22*H89, C89="Beauty &amp; Personal Care", 0.3*H89, C89="Sports &amp; Fitness", 0.2*H89, TRUE, 0.15*H89), 2)</f>
        <v>#NAME?</v>
      </c>
      <c r="J89" s="19" t="s">
        <v>55</v>
      </c>
      <c r="K89" s="19" t="s">
        <v>47</v>
      </c>
      <c r="L89" s="16" t="s">
        <v>24</v>
      </c>
      <c r="M89" s="19" t="s">
        <v>48</v>
      </c>
    </row>
    <row r="90" spans="1:13" ht="12.75">
      <c r="A90" s="16" t="s">
        <v>229</v>
      </c>
      <c r="B90" s="17">
        <v>45518</v>
      </c>
      <c r="C90" s="19" t="s">
        <v>2</v>
      </c>
      <c r="D90" s="19" t="s">
        <v>230</v>
      </c>
      <c r="E90" s="3">
        <v>3</v>
      </c>
      <c r="F90" s="5">
        <v>299</v>
      </c>
      <c r="G90" s="4">
        <v>0.05</v>
      </c>
      <c r="H90" s="5">
        <f t="shared" si="0"/>
        <v>852.15</v>
      </c>
      <c r="I90" s="7" t="e">
        <f ca="1">ROUND(_xludf.IFS(L90="Cancelled", 0, L90="Returned", -0.1*H90, C90="Electronics", 0.14*H90, C90="Appliances", 0.16*H90, C90="Fashion", 0.26*H90, C90="Home &amp; Kitchen", 0.22*H90, C90="Beauty &amp; Personal Care", 0.3*H90, C90="Sports &amp; Fitness", 0.2*H90, TRUE, 0.15*H90), 2)</f>
        <v>#NAME?</v>
      </c>
      <c r="J90" s="19" t="s">
        <v>60</v>
      </c>
      <c r="K90" s="19" t="s">
        <v>47</v>
      </c>
      <c r="L90" s="16" t="s">
        <v>24</v>
      </c>
      <c r="M90" s="19" t="s">
        <v>61</v>
      </c>
    </row>
    <row r="91" spans="1:13" ht="12.75">
      <c r="A91" s="16" t="s">
        <v>231</v>
      </c>
      <c r="B91" s="17">
        <v>45521</v>
      </c>
      <c r="C91" s="19" t="s">
        <v>7</v>
      </c>
      <c r="D91" s="19" t="s">
        <v>232</v>
      </c>
      <c r="E91" s="3">
        <v>1</v>
      </c>
      <c r="F91" s="5">
        <v>13999</v>
      </c>
      <c r="G91" s="4">
        <v>0.14000000000000001</v>
      </c>
      <c r="H91" s="5">
        <f t="shared" si="0"/>
        <v>12039.14</v>
      </c>
      <c r="I91" s="7" t="e">
        <f ca="1">ROUND(_xludf.IFS(L91="Cancelled", 0, L91="Returned", -0.1*H91, C91="Electronics", 0.14*H91, C91="Appliances", 0.16*H91, C91="Fashion", 0.26*H91, C91="Home &amp; Kitchen", 0.22*H91, C91="Beauty &amp; Personal Care", 0.3*H91, C91="Sports &amp; Fitness", 0.2*H91, TRUE, 0.15*H91), 2)</f>
        <v>#NAME?</v>
      </c>
      <c r="J91" s="19" t="s">
        <v>51</v>
      </c>
      <c r="K91" s="19" t="s">
        <v>47</v>
      </c>
      <c r="L91" s="16" t="s">
        <v>24</v>
      </c>
      <c r="M91" s="19" t="s">
        <v>52</v>
      </c>
    </row>
    <row r="92" spans="1:13" ht="12.75">
      <c r="A92" s="16" t="s">
        <v>233</v>
      </c>
      <c r="B92" s="17">
        <v>45523</v>
      </c>
      <c r="C92" s="19" t="s">
        <v>5</v>
      </c>
      <c r="D92" s="19" t="s">
        <v>234</v>
      </c>
      <c r="E92" s="3">
        <v>3</v>
      </c>
      <c r="F92" s="5">
        <v>950</v>
      </c>
      <c r="G92" s="4">
        <v>0.08</v>
      </c>
      <c r="H92" s="5">
        <f t="shared" si="0"/>
        <v>2622</v>
      </c>
      <c r="I92" s="7" t="e">
        <f ca="1">ROUND(_xludf.IFS(L92="Cancelled", 0, L92="Returned", -0.1*H92, C92="Electronics", 0.14*H92, C92="Appliances", 0.16*H92, C92="Fashion", 0.26*H92, C92="Home &amp; Kitchen", 0.22*H92, C92="Beauty &amp; Personal Care", 0.3*H92, C92="Sports &amp; Fitness", 0.2*H92, TRUE, 0.15*H92), 2)</f>
        <v>#NAME?</v>
      </c>
      <c r="J92" s="19" t="s">
        <v>46</v>
      </c>
      <c r="K92" s="19" t="s">
        <v>56</v>
      </c>
      <c r="L92" s="16" t="s">
        <v>24</v>
      </c>
      <c r="M92" s="19" t="s">
        <v>70</v>
      </c>
    </row>
    <row r="93" spans="1:13" ht="12.75">
      <c r="A93" s="16" t="s">
        <v>235</v>
      </c>
      <c r="B93" s="17">
        <v>45526</v>
      </c>
      <c r="C93" s="19" t="s">
        <v>6</v>
      </c>
      <c r="D93" s="19" t="s">
        <v>236</v>
      </c>
      <c r="E93" s="3">
        <v>1</v>
      </c>
      <c r="F93" s="5">
        <v>4499</v>
      </c>
      <c r="G93" s="4">
        <v>0.15</v>
      </c>
      <c r="H93" s="5">
        <f t="shared" si="0"/>
        <v>3824.15</v>
      </c>
      <c r="I93" s="7" t="e">
        <f ca="1">ROUND(_xludf.IFS(L93="Cancelled", 0, L93="Returned", -0.1*H93, C93="Electronics", 0.14*H93, C93="Appliances", 0.16*H93, C93="Fashion", 0.26*H93, C93="Home &amp; Kitchen", 0.22*H93, C93="Beauty &amp; Personal Care", 0.3*H93, C93="Sports &amp; Fitness", 0.2*H93, TRUE, 0.15*H93), 2)</f>
        <v>#NAME?</v>
      </c>
      <c r="J93" s="19" t="s">
        <v>66</v>
      </c>
      <c r="K93" s="19" t="s">
        <v>47</v>
      </c>
      <c r="L93" s="16" t="s">
        <v>24</v>
      </c>
      <c r="M93" s="19" t="s">
        <v>64</v>
      </c>
    </row>
    <row r="94" spans="1:13" ht="12.75">
      <c r="A94" s="16" t="s">
        <v>237</v>
      </c>
      <c r="B94" s="17">
        <v>45528</v>
      </c>
      <c r="C94" s="19" t="s">
        <v>4</v>
      </c>
      <c r="D94" s="19" t="s">
        <v>238</v>
      </c>
      <c r="E94" s="3">
        <v>1</v>
      </c>
      <c r="F94" s="5">
        <v>1499</v>
      </c>
      <c r="G94" s="4">
        <v>0.25</v>
      </c>
      <c r="H94" s="5">
        <f t="shared" si="0"/>
        <v>1124.25</v>
      </c>
      <c r="I94" s="7" t="e">
        <f ca="1">ROUND(_xludf.IFS(L94="Cancelled", 0, L94="Returned", -0.1*H94, C94="Electronics", 0.14*H94, C94="Appliances", 0.16*H94, C94="Fashion", 0.26*H94, C94="Home &amp; Kitchen", 0.22*H94, C94="Beauty &amp; Personal Care", 0.3*H94, C94="Sports &amp; Fitness", 0.2*H94, TRUE, 0.15*H94), 2)</f>
        <v>#NAME?</v>
      </c>
      <c r="J94" s="19" t="s">
        <v>51</v>
      </c>
      <c r="K94" s="19" t="s">
        <v>47</v>
      </c>
      <c r="L94" s="16" t="s">
        <v>24</v>
      </c>
      <c r="M94" s="19" t="s">
        <v>48</v>
      </c>
    </row>
    <row r="95" spans="1:13" ht="12.75">
      <c r="A95" s="16" t="s">
        <v>239</v>
      </c>
      <c r="B95" s="17">
        <v>45531</v>
      </c>
      <c r="C95" s="19" t="s">
        <v>3</v>
      </c>
      <c r="D95" s="19" t="s">
        <v>240</v>
      </c>
      <c r="E95" s="3">
        <v>2</v>
      </c>
      <c r="F95" s="5">
        <v>799</v>
      </c>
      <c r="G95" s="4">
        <v>0.12</v>
      </c>
      <c r="H95" s="5">
        <f t="shared" si="0"/>
        <v>1406.24</v>
      </c>
      <c r="I95" s="7" t="e">
        <f ca="1">ROUND(_xludf.IFS(L95="Cancelled", 0, L95="Returned", -0.1*H95, C95="Electronics", 0.14*H95, C95="Appliances", 0.16*H95, C95="Fashion", 0.26*H95, C95="Home &amp; Kitchen", 0.22*H95, C95="Beauty &amp; Personal Care", 0.3*H95, C95="Sports &amp; Fitness", 0.2*H95, TRUE, 0.15*H95), 2)</f>
        <v>#NAME?</v>
      </c>
      <c r="J95" s="19" t="s">
        <v>46</v>
      </c>
      <c r="K95" s="19" t="s">
        <v>47</v>
      </c>
      <c r="L95" s="16" t="s">
        <v>24</v>
      </c>
      <c r="M95" s="19" t="s">
        <v>57</v>
      </c>
    </row>
    <row r="96" spans="1:13" ht="12.75">
      <c r="A96" s="16" t="s">
        <v>241</v>
      </c>
      <c r="B96" s="17">
        <v>45533</v>
      </c>
      <c r="C96" s="19" t="s">
        <v>2</v>
      </c>
      <c r="D96" s="19" t="s">
        <v>242</v>
      </c>
      <c r="E96" s="3">
        <v>1</v>
      </c>
      <c r="F96" s="5">
        <v>899</v>
      </c>
      <c r="G96" s="4">
        <v>0.1</v>
      </c>
      <c r="H96" s="5">
        <f t="shared" si="0"/>
        <v>809.1</v>
      </c>
      <c r="I96" s="7" t="e">
        <f ca="1">ROUND(_xludf.IFS(L96="Cancelled", 0, L96="Returned", -0.1*H96, C96="Electronics", 0.14*H96, C96="Appliances", 0.16*H96, C96="Fashion", 0.26*H96, C96="Home &amp; Kitchen", 0.22*H96, C96="Beauty &amp; Personal Care", 0.3*H96, C96="Sports &amp; Fitness", 0.2*H96, TRUE, 0.15*H96), 2)</f>
        <v>#NAME?</v>
      </c>
      <c r="J96" s="19" t="s">
        <v>55</v>
      </c>
      <c r="K96" s="19" t="s">
        <v>47</v>
      </c>
      <c r="L96" s="16" t="s">
        <v>24</v>
      </c>
      <c r="M96" s="19" t="s">
        <v>73</v>
      </c>
    </row>
    <row r="97" spans="1:13" ht="12.75">
      <c r="A97" s="16" t="s">
        <v>243</v>
      </c>
      <c r="B97" s="17">
        <v>45536</v>
      </c>
      <c r="C97" s="19" t="s">
        <v>7</v>
      </c>
      <c r="D97" s="19" t="s">
        <v>12</v>
      </c>
      <c r="E97" s="3">
        <v>1</v>
      </c>
      <c r="F97" s="5">
        <v>31990</v>
      </c>
      <c r="G97" s="4">
        <v>0.16</v>
      </c>
      <c r="H97" s="5">
        <f t="shared" si="0"/>
        <v>26871.599999999999</v>
      </c>
      <c r="I97" s="7" t="e">
        <f ca="1">ROUND(_xludf.IFS(L97="Cancelled", 0, L97="Returned", -0.1*H97, C97="Electronics", 0.14*H97, C97="Appliances", 0.16*H97, C97="Fashion", 0.26*H97, C97="Home &amp; Kitchen", 0.22*H97, C97="Beauty &amp; Personal Care", 0.3*H97, C97="Sports &amp; Fitness", 0.2*H97, TRUE, 0.15*H97), 2)</f>
        <v>#NAME?</v>
      </c>
      <c r="J97" s="19" t="s">
        <v>51</v>
      </c>
      <c r="K97" s="19" t="s">
        <v>47</v>
      </c>
      <c r="L97" s="16" t="s">
        <v>24</v>
      </c>
      <c r="M97" s="19" t="s">
        <v>64</v>
      </c>
    </row>
    <row r="98" spans="1:13" ht="12.75">
      <c r="A98" s="16" t="s">
        <v>244</v>
      </c>
      <c r="B98" s="17">
        <v>45538</v>
      </c>
      <c r="C98" s="19" t="s">
        <v>5</v>
      </c>
      <c r="D98" s="19" t="s">
        <v>245</v>
      </c>
      <c r="E98" s="3">
        <v>3</v>
      </c>
      <c r="F98" s="5">
        <v>249</v>
      </c>
      <c r="G98" s="4">
        <v>0.05</v>
      </c>
      <c r="H98" s="5">
        <f t="shared" si="0"/>
        <v>709.65</v>
      </c>
      <c r="I98" s="7" t="e">
        <f ca="1">ROUND(_xludf.IFS(L98="Cancelled", 0, L98="Returned", -0.1*H98, C98="Electronics", 0.14*H98, C98="Appliances", 0.16*H98, C98="Fashion", 0.26*H98, C98="Home &amp; Kitchen", 0.22*H98, C98="Beauty &amp; Personal Care", 0.3*H98, C98="Sports &amp; Fitness", 0.2*H98, TRUE, 0.15*H98), 2)</f>
        <v>#NAME?</v>
      </c>
      <c r="J98" s="19" t="s">
        <v>60</v>
      </c>
      <c r="K98" s="19" t="s">
        <v>56</v>
      </c>
      <c r="L98" s="16" t="s">
        <v>24</v>
      </c>
      <c r="M98" s="19" t="s">
        <v>90</v>
      </c>
    </row>
    <row r="99" spans="1:13" ht="12.75">
      <c r="A99" s="16" t="s">
        <v>246</v>
      </c>
      <c r="B99" s="17">
        <v>45541</v>
      </c>
      <c r="C99" s="19" t="s">
        <v>6</v>
      </c>
      <c r="D99" s="19" t="s">
        <v>45</v>
      </c>
      <c r="E99" s="3">
        <v>2</v>
      </c>
      <c r="F99" s="5">
        <v>1499</v>
      </c>
      <c r="G99" s="4">
        <v>0.1</v>
      </c>
      <c r="H99" s="5">
        <f t="shared" si="0"/>
        <v>2698.2</v>
      </c>
      <c r="I99" s="7" t="e">
        <f ca="1">ROUND(_xludf.IFS(L99="Cancelled", 0, L99="Returned", -0.1*H99, C99="Electronics", 0.14*H99, C99="Appliances", 0.16*H99, C99="Fashion", 0.26*H99, C99="Home &amp; Kitchen", 0.22*H99, C99="Beauty &amp; Personal Care", 0.3*H99, C99="Sports &amp; Fitness", 0.2*H99, TRUE, 0.15*H99), 2)</f>
        <v>#NAME?</v>
      </c>
      <c r="J99" s="19" t="s">
        <v>46</v>
      </c>
      <c r="K99" s="19" t="s">
        <v>47</v>
      </c>
      <c r="L99" s="16" t="s">
        <v>24</v>
      </c>
      <c r="M99" s="19" t="s">
        <v>48</v>
      </c>
    </row>
    <row r="100" spans="1:13" ht="12.75">
      <c r="A100" s="16" t="s">
        <v>247</v>
      </c>
      <c r="B100" s="17">
        <v>45543</v>
      </c>
      <c r="C100" s="19" t="s">
        <v>4</v>
      </c>
      <c r="D100" s="19" t="s">
        <v>248</v>
      </c>
      <c r="E100" s="3">
        <v>1</v>
      </c>
      <c r="F100" s="5">
        <v>2290</v>
      </c>
      <c r="G100" s="4">
        <v>0.2</v>
      </c>
      <c r="H100" s="5">
        <f t="shared" si="0"/>
        <v>1832</v>
      </c>
      <c r="I100" s="7" t="e">
        <f ca="1">ROUND(_xludf.IFS(L100="Cancelled", 0, L100="Returned", -0.1*H100, C100="Electronics", 0.14*H100, C100="Appliances", 0.16*H100, C100="Fashion", 0.26*H100, C100="Home &amp; Kitchen", 0.22*H100, C100="Beauty &amp; Personal Care", 0.3*H100, C100="Sports &amp; Fitness", 0.2*H100, TRUE, 0.15*H100), 2)</f>
        <v>#NAME?</v>
      </c>
      <c r="J100" s="19" t="s">
        <v>51</v>
      </c>
      <c r="K100" s="19" t="s">
        <v>47</v>
      </c>
      <c r="L100" s="16" t="s">
        <v>24</v>
      </c>
      <c r="M100" s="19" t="s">
        <v>52</v>
      </c>
    </row>
    <row r="101" spans="1:13" ht="12.75">
      <c r="A101" s="16" t="s">
        <v>249</v>
      </c>
      <c r="B101" s="17">
        <v>45546</v>
      </c>
      <c r="C101" s="19" t="s">
        <v>3</v>
      </c>
      <c r="D101" s="19" t="s">
        <v>250</v>
      </c>
      <c r="E101" s="3">
        <v>1</v>
      </c>
      <c r="F101" s="5">
        <v>899</v>
      </c>
      <c r="G101" s="4">
        <v>0.15</v>
      </c>
      <c r="H101" s="5">
        <f t="shared" si="0"/>
        <v>764.15</v>
      </c>
      <c r="I101" s="7" t="e">
        <f ca="1">ROUND(_xludf.IFS(L101="Cancelled", 0, L101="Returned", -0.1*H101, C101="Electronics", 0.14*H101, C101="Appliances", 0.16*H101, C101="Fashion", 0.26*H101, C101="Home &amp; Kitchen", 0.22*H101, C101="Beauty &amp; Personal Care", 0.3*H101, C101="Sports &amp; Fitness", 0.2*H101, TRUE, 0.15*H101), 2)</f>
        <v>#NAME?</v>
      </c>
      <c r="J101" s="19" t="s">
        <v>66</v>
      </c>
      <c r="K101" s="19" t="s">
        <v>47</v>
      </c>
      <c r="L101" s="16" t="s">
        <v>24</v>
      </c>
      <c r="M101" s="19" t="s">
        <v>67</v>
      </c>
    </row>
    <row r="102" spans="1:13" ht="12.75">
      <c r="A102" s="16" t="s">
        <v>251</v>
      </c>
      <c r="B102" s="17">
        <v>45548</v>
      </c>
      <c r="C102" s="19" t="s">
        <v>2</v>
      </c>
      <c r="D102" s="19" t="s">
        <v>252</v>
      </c>
      <c r="E102" s="3">
        <v>4</v>
      </c>
      <c r="F102" s="5">
        <v>199</v>
      </c>
      <c r="G102" s="4">
        <v>0.05</v>
      </c>
      <c r="H102" s="5">
        <f t="shared" si="0"/>
        <v>756.2</v>
      </c>
      <c r="I102" s="7" t="e">
        <f ca="1">ROUND(_xludf.IFS(L102="Cancelled", 0, L102="Returned", -0.1*H102, C102="Electronics", 0.14*H102, C102="Appliances", 0.16*H102, C102="Fashion", 0.26*H102, C102="Home &amp; Kitchen", 0.22*H102, C102="Beauty &amp; Personal Care", 0.3*H102, C102="Sports &amp; Fitness", 0.2*H102, TRUE, 0.15*H102), 2)</f>
        <v>#NAME?</v>
      </c>
      <c r="J102" s="19" t="s">
        <v>60</v>
      </c>
      <c r="K102" s="19" t="s">
        <v>47</v>
      </c>
      <c r="L102" s="16" t="s">
        <v>24</v>
      </c>
      <c r="M102" s="19" t="s">
        <v>76</v>
      </c>
    </row>
    <row r="103" spans="1:13" ht="12.75">
      <c r="A103" s="16" t="s">
        <v>253</v>
      </c>
      <c r="B103" s="17">
        <v>45551</v>
      </c>
      <c r="C103" s="19" t="s">
        <v>7</v>
      </c>
      <c r="D103" s="19" t="s">
        <v>29</v>
      </c>
      <c r="E103" s="3">
        <v>1</v>
      </c>
      <c r="F103" s="5">
        <v>7490</v>
      </c>
      <c r="G103" s="4">
        <v>0.2</v>
      </c>
      <c r="H103" s="5">
        <f t="shared" si="0"/>
        <v>5992</v>
      </c>
      <c r="I103" s="7" t="e">
        <f ca="1">ROUND(_xludf.IFS(L103="Cancelled", 0, L103="Returned", -0.1*H103, C103="Electronics", 0.14*H103, C103="Appliances", 0.16*H103, C103="Fashion", 0.26*H103, C103="Home &amp; Kitchen", 0.22*H103, C103="Beauty &amp; Personal Care", 0.3*H103, C103="Sports &amp; Fitness", 0.2*H103, TRUE, 0.15*H103), 2)</f>
        <v>#NAME?</v>
      </c>
      <c r="J103" s="19" t="s">
        <v>55</v>
      </c>
      <c r="K103" s="19" t="s">
        <v>56</v>
      </c>
      <c r="L103" s="16" t="s">
        <v>24</v>
      </c>
      <c r="M103" s="19" t="s">
        <v>80</v>
      </c>
    </row>
    <row r="104" spans="1:13" ht="12.75">
      <c r="A104" s="16" t="s">
        <v>254</v>
      </c>
      <c r="B104" s="17">
        <v>45553</v>
      </c>
      <c r="C104" s="19" t="s">
        <v>5</v>
      </c>
      <c r="D104" s="19" t="s">
        <v>255</v>
      </c>
      <c r="E104" s="3">
        <v>2</v>
      </c>
      <c r="F104" s="5">
        <v>349</v>
      </c>
      <c r="G104" s="4">
        <v>0.1</v>
      </c>
      <c r="H104" s="5">
        <f t="shared" si="0"/>
        <v>628.20000000000005</v>
      </c>
      <c r="I104" s="7" t="e">
        <f ca="1">ROUND(_xludf.IFS(L104="Cancelled", 0, L104="Returned", -0.1*H104, C104="Electronics", 0.14*H104, C104="Appliances", 0.16*H104, C104="Fashion", 0.26*H104, C104="Home &amp; Kitchen", 0.22*H104, C104="Beauty &amp; Personal Care", 0.3*H104, C104="Sports &amp; Fitness", 0.2*H104, TRUE, 0.15*H104), 2)</f>
        <v>#NAME?</v>
      </c>
      <c r="J104" s="19" t="s">
        <v>46</v>
      </c>
      <c r="K104" s="19" t="s">
        <v>56</v>
      </c>
      <c r="L104" s="16" t="s">
        <v>24</v>
      </c>
      <c r="M104" s="19" t="s">
        <v>70</v>
      </c>
    </row>
    <row r="105" spans="1:13" ht="12.75">
      <c r="A105" s="16" t="s">
        <v>256</v>
      </c>
      <c r="B105" s="17">
        <v>45556</v>
      </c>
      <c r="C105" s="19" t="s">
        <v>6</v>
      </c>
      <c r="D105" s="19" t="s">
        <v>17</v>
      </c>
      <c r="E105" s="3">
        <v>1</v>
      </c>
      <c r="F105" s="5">
        <v>19999</v>
      </c>
      <c r="G105" s="4">
        <v>0.08</v>
      </c>
      <c r="H105" s="5">
        <f t="shared" si="0"/>
        <v>18399.080000000002</v>
      </c>
      <c r="I105" s="7" t="e">
        <f ca="1">ROUND(_xludf.IFS(L105="Cancelled", 0, L105="Returned", -0.1*H105, C105="Electronics", 0.14*H105, C105="Appliances", 0.16*H105, C105="Fashion", 0.26*H105, C105="Home &amp; Kitchen", 0.22*H105, C105="Beauty &amp; Personal Care", 0.3*H105, C105="Sports &amp; Fitness", 0.2*H105, TRUE, 0.15*H105), 2)</f>
        <v>#NAME?</v>
      </c>
      <c r="J105" s="19" t="s">
        <v>51</v>
      </c>
      <c r="K105" s="19" t="s">
        <v>47</v>
      </c>
      <c r="L105" s="16" t="s">
        <v>24</v>
      </c>
      <c r="M105" s="19" t="s">
        <v>48</v>
      </c>
    </row>
    <row r="106" spans="1:13" ht="12.75">
      <c r="A106" s="16" t="s">
        <v>257</v>
      </c>
      <c r="B106" s="17">
        <v>45558</v>
      </c>
      <c r="C106" s="19" t="s">
        <v>4</v>
      </c>
      <c r="D106" s="19" t="s">
        <v>258</v>
      </c>
      <c r="E106" s="3">
        <v>2</v>
      </c>
      <c r="F106" s="5">
        <v>1099</v>
      </c>
      <c r="G106" s="4">
        <v>0.22</v>
      </c>
      <c r="H106" s="5">
        <f t="shared" si="0"/>
        <v>1714.44</v>
      </c>
      <c r="I106" s="7" t="e">
        <f ca="1">ROUND(_xludf.IFS(L106="Cancelled", 0, L106="Returned", -0.1*H106, C106="Electronics", 0.14*H106, C106="Appliances", 0.16*H106, C106="Fashion", 0.26*H106, C106="Home &amp; Kitchen", 0.22*H106, C106="Beauty &amp; Personal Care", 0.3*H106, C106="Sports &amp; Fitness", 0.2*H106, TRUE, 0.15*H106), 2)</f>
        <v>#NAME?</v>
      </c>
      <c r="J106" s="19" t="s">
        <v>46</v>
      </c>
      <c r="K106" s="19" t="s">
        <v>47</v>
      </c>
      <c r="L106" s="16" t="s">
        <v>24</v>
      </c>
      <c r="M106" s="19" t="s">
        <v>57</v>
      </c>
    </row>
    <row r="107" spans="1:13" ht="12.75">
      <c r="A107" s="16" t="s">
        <v>259</v>
      </c>
      <c r="B107" s="17">
        <v>45561</v>
      </c>
      <c r="C107" s="19" t="s">
        <v>3</v>
      </c>
      <c r="D107" s="19" t="s">
        <v>54</v>
      </c>
      <c r="E107" s="3">
        <v>1</v>
      </c>
      <c r="F107" s="5">
        <v>3299</v>
      </c>
      <c r="G107" s="4">
        <v>0.15</v>
      </c>
      <c r="H107" s="5">
        <f t="shared" si="0"/>
        <v>2804.15</v>
      </c>
      <c r="I107" s="7" t="e">
        <f ca="1">ROUND(_xludf.IFS(L107="Cancelled", 0, L107="Returned", -0.1*H107, C107="Electronics", 0.14*H107, C107="Appliances", 0.16*H107, C107="Fashion", 0.26*H107, C107="Home &amp; Kitchen", 0.22*H107, C107="Beauty &amp; Personal Care", 0.3*H107, C107="Sports &amp; Fitness", 0.2*H107, TRUE, 0.15*H107), 2)</f>
        <v>#NAME?</v>
      </c>
      <c r="J107" s="19" t="s">
        <v>55</v>
      </c>
      <c r="K107" s="19" t="s">
        <v>56</v>
      </c>
      <c r="L107" s="16" t="s">
        <v>24</v>
      </c>
      <c r="M107" s="19" t="s">
        <v>61</v>
      </c>
    </row>
    <row r="108" spans="1:13" ht="12.75">
      <c r="A108" s="16" t="s">
        <v>260</v>
      </c>
      <c r="B108" s="17">
        <v>45563</v>
      </c>
      <c r="C108" s="19" t="s">
        <v>2</v>
      </c>
      <c r="D108" s="19" t="s">
        <v>261</v>
      </c>
      <c r="E108" s="3">
        <v>2</v>
      </c>
      <c r="F108" s="5">
        <v>499</v>
      </c>
      <c r="G108" s="4">
        <v>0.12</v>
      </c>
      <c r="H108" s="5">
        <f t="shared" si="0"/>
        <v>878.24</v>
      </c>
      <c r="I108" s="7" t="e">
        <f ca="1">ROUND(_xludf.IFS(L108="Cancelled", 0, L108="Returned", -0.1*H108, C108="Electronics", 0.14*H108, C108="Appliances", 0.16*H108, C108="Fashion", 0.26*H108, C108="Home &amp; Kitchen", 0.22*H108, C108="Beauty &amp; Personal Care", 0.3*H108, C108="Sports &amp; Fitness", 0.2*H108, TRUE, 0.15*H108), 2)</f>
        <v>#NAME?</v>
      </c>
      <c r="J108" s="19" t="s">
        <v>46</v>
      </c>
      <c r="K108" s="19" t="s">
        <v>47</v>
      </c>
      <c r="L108" s="16" t="s">
        <v>24</v>
      </c>
      <c r="M108" s="19" t="s">
        <v>64</v>
      </c>
    </row>
    <row r="109" spans="1:13" ht="12.75">
      <c r="A109" s="16" t="s">
        <v>262</v>
      </c>
      <c r="B109" s="17">
        <v>45566</v>
      </c>
      <c r="C109" s="19" t="s">
        <v>7</v>
      </c>
      <c r="D109" s="19" t="s">
        <v>263</v>
      </c>
      <c r="E109" s="3">
        <v>1</v>
      </c>
      <c r="F109" s="5">
        <v>3895</v>
      </c>
      <c r="G109" s="4">
        <v>0.18</v>
      </c>
      <c r="H109" s="5">
        <f t="shared" si="0"/>
        <v>3193.9</v>
      </c>
      <c r="I109" s="7" t="e">
        <f ca="1">ROUND(_xludf.IFS(L109="Cancelled", 0, L109="Returned", -0.1*H109, C109="Electronics", 0.14*H109, C109="Appliances", 0.16*H109, C109="Fashion", 0.26*H109, C109="Home &amp; Kitchen", 0.22*H109, C109="Beauty &amp; Personal Care", 0.3*H109, C109="Sports &amp; Fitness", 0.2*H109, TRUE, 0.15*H109), 2)</f>
        <v>#NAME?</v>
      </c>
      <c r="J109" s="19" t="s">
        <v>51</v>
      </c>
      <c r="K109" s="19" t="s">
        <v>47</v>
      </c>
      <c r="L109" s="16" t="s">
        <v>24</v>
      </c>
      <c r="M109" s="19" t="s">
        <v>52</v>
      </c>
    </row>
    <row r="110" spans="1:13" ht="12.75">
      <c r="A110" s="16" t="s">
        <v>264</v>
      </c>
      <c r="B110" s="17">
        <v>45568</v>
      </c>
      <c r="C110" s="19" t="s">
        <v>5</v>
      </c>
      <c r="D110" s="19" t="s">
        <v>265</v>
      </c>
      <c r="E110" s="3">
        <v>1</v>
      </c>
      <c r="F110" s="5">
        <v>649</v>
      </c>
      <c r="G110" s="4">
        <v>0.15</v>
      </c>
      <c r="H110" s="5">
        <f t="shared" si="0"/>
        <v>551.65</v>
      </c>
      <c r="I110" s="7" t="e">
        <f ca="1">ROUND(_xludf.IFS(L110="Cancelled", 0, L110="Returned", -0.1*H110, C110="Electronics", 0.14*H110, C110="Appliances", 0.16*H110, C110="Fashion", 0.26*H110, C110="Home &amp; Kitchen", 0.22*H110, C110="Beauty &amp; Personal Care", 0.3*H110, C110="Sports &amp; Fitness", 0.2*H110, TRUE, 0.15*H110), 2)</f>
        <v>#NAME?</v>
      </c>
      <c r="J110" s="19" t="s">
        <v>60</v>
      </c>
      <c r="K110" s="19" t="s">
        <v>56</v>
      </c>
      <c r="L110" s="16" t="s">
        <v>26</v>
      </c>
      <c r="M110" s="19" t="s">
        <v>73</v>
      </c>
    </row>
    <row r="111" spans="1:13" ht="12.75">
      <c r="A111" s="16" t="s">
        <v>266</v>
      </c>
      <c r="B111" s="17">
        <v>45571</v>
      </c>
      <c r="C111" s="19" t="s">
        <v>6</v>
      </c>
      <c r="D111" s="19" t="s">
        <v>78</v>
      </c>
      <c r="E111" s="3">
        <v>1</v>
      </c>
      <c r="F111" s="5">
        <v>1799</v>
      </c>
      <c r="G111" s="4">
        <v>0.18</v>
      </c>
      <c r="H111" s="5">
        <f t="shared" si="0"/>
        <v>1475.18</v>
      </c>
      <c r="I111" s="7" t="e">
        <f ca="1">ROUND(_xludf.IFS(L111="Cancelled", 0, L111="Returned", -0.1*H111, C111="Electronics", 0.14*H111, C111="Appliances", 0.16*H111, C111="Fashion", 0.26*H111, C111="Home &amp; Kitchen", 0.22*H111, C111="Beauty &amp; Personal Care", 0.3*H111, C111="Sports &amp; Fitness", 0.2*H111, TRUE, 0.15*H111), 2)</f>
        <v>#NAME?</v>
      </c>
      <c r="J111" s="19" t="s">
        <v>66</v>
      </c>
      <c r="K111" s="19" t="s">
        <v>47</v>
      </c>
      <c r="L111" s="16" t="s">
        <v>24</v>
      </c>
      <c r="M111" s="19" t="s">
        <v>48</v>
      </c>
    </row>
    <row r="112" spans="1:13" ht="12.75">
      <c r="A112" s="16" t="s">
        <v>267</v>
      </c>
      <c r="B112" s="17">
        <v>45573</v>
      </c>
      <c r="C112" s="19" t="s">
        <v>4</v>
      </c>
      <c r="D112" s="19" t="s">
        <v>50</v>
      </c>
      <c r="E112" s="3">
        <v>1</v>
      </c>
      <c r="F112" s="5">
        <v>2499</v>
      </c>
      <c r="G112" s="4">
        <v>0.2</v>
      </c>
      <c r="H112" s="5">
        <f t="shared" si="0"/>
        <v>1999.2</v>
      </c>
      <c r="I112" s="7" t="e">
        <f ca="1">ROUND(_xludf.IFS(L112="Cancelled", 0, L112="Returned", -0.1*H112, C112="Electronics", 0.14*H112, C112="Appliances", 0.16*H112, C112="Fashion", 0.26*H112, C112="Home &amp; Kitchen", 0.22*H112, C112="Beauty &amp; Personal Care", 0.3*H112, C112="Sports &amp; Fitness", 0.2*H112, TRUE, 0.15*H112), 2)</f>
        <v>#NAME?</v>
      </c>
      <c r="J112" s="19" t="s">
        <v>46</v>
      </c>
      <c r="K112" s="19" t="s">
        <v>47</v>
      </c>
      <c r="L112" s="16" t="s">
        <v>24</v>
      </c>
      <c r="M112" s="19" t="s">
        <v>64</v>
      </c>
    </row>
    <row r="113" spans="1:13" ht="12.75">
      <c r="A113" s="16" t="s">
        <v>268</v>
      </c>
      <c r="B113" s="17">
        <v>45576</v>
      </c>
      <c r="C113" s="19" t="s">
        <v>3</v>
      </c>
      <c r="D113" s="19" t="s">
        <v>75</v>
      </c>
      <c r="E113" s="3">
        <v>1</v>
      </c>
      <c r="F113" s="5">
        <v>1899</v>
      </c>
      <c r="G113" s="4">
        <v>0.15</v>
      </c>
      <c r="H113" s="5">
        <f t="shared" si="0"/>
        <v>1614.15</v>
      </c>
      <c r="I113" s="7" t="e">
        <f ca="1">ROUND(_xludf.IFS(L113="Cancelled", 0, L113="Returned", -0.1*H113, C113="Electronics", 0.14*H113, C113="Appliances", 0.16*H113, C113="Fashion", 0.26*H113, C113="Home &amp; Kitchen", 0.22*H113, C113="Beauty &amp; Personal Care", 0.3*H113, C113="Sports &amp; Fitness", 0.2*H113, TRUE, 0.15*H113), 2)</f>
        <v>#NAME?</v>
      </c>
      <c r="J113" s="19" t="s">
        <v>55</v>
      </c>
      <c r="K113" s="19" t="s">
        <v>47</v>
      </c>
      <c r="L113" s="16" t="s">
        <v>24</v>
      </c>
      <c r="M113" s="19" t="s">
        <v>52</v>
      </c>
    </row>
    <row r="114" spans="1:13" ht="12.75">
      <c r="A114" s="16" t="s">
        <v>269</v>
      </c>
      <c r="B114" s="17">
        <v>45578</v>
      </c>
      <c r="C114" s="19" t="s">
        <v>2</v>
      </c>
      <c r="D114" s="19" t="s">
        <v>59</v>
      </c>
      <c r="E114" s="3">
        <v>3</v>
      </c>
      <c r="F114" s="5">
        <v>399</v>
      </c>
      <c r="G114" s="4">
        <v>0.05</v>
      </c>
      <c r="H114" s="5">
        <f t="shared" si="0"/>
        <v>1137.1500000000001</v>
      </c>
      <c r="I114" s="7" t="e">
        <f ca="1">ROUND(_xludf.IFS(L114="Cancelled", 0, L114="Returned", -0.1*H114, C114="Electronics", 0.14*H114, C114="Appliances", 0.16*H114, C114="Fashion", 0.26*H114, C114="Home &amp; Kitchen", 0.22*H114, C114="Beauty &amp; Personal Care", 0.3*H114, C114="Sports &amp; Fitness", 0.2*H114, TRUE, 0.15*H114), 2)</f>
        <v>#NAME?</v>
      </c>
      <c r="J114" s="19" t="s">
        <v>60</v>
      </c>
      <c r="K114" s="19" t="s">
        <v>47</v>
      </c>
      <c r="L114" s="16" t="s">
        <v>24</v>
      </c>
      <c r="M114" s="19" t="s">
        <v>48</v>
      </c>
    </row>
    <row r="115" spans="1:13" ht="12.75">
      <c r="A115" s="16" t="s">
        <v>270</v>
      </c>
      <c r="B115" s="17">
        <v>45581</v>
      </c>
      <c r="C115" s="19" t="s">
        <v>7</v>
      </c>
      <c r="D115" s="19" t="s">
        <v>63</v>
      </c>
      <c r="E115" s="3">
        <v>1</v>
      </c>
      <c r="F115" s="5">
        <v>7999</v>
      </c>
      <c r="G115" s="4">
        <v>0.25</v>
      </c>
      <c r="H115" s="5">
        <f t="shared" si="0"/>
        <v>5999.25</v>
      </c>
      <c r="I115" s="7" t="e">
        <f ca="1">ROUND(_xludf.IFS(L115="Cancelled", 0, L115="Returned", -0.1*H115, C115="Electronics", 0.14*H115, C115="Appliances", 0.16*H115, C115="Fashion", 0.26*H115, C115="Home &amp; Kitchen", 0.22*H115, C115="Beauty &amp; Personal Care", 0.3*H115, C115="Sports &amp; Fitness", 0.2*H115, TRUE, 0.15*H115), 2)</f>
        <v>#NAME?</v>
      </c>
      <c r="J115" s="19" t="s">
        <v>51</v>
      </c>
      <c r="K115" s="19" t="s">
        <v>47</v>
      </c>
      <c r="L115" s="16" t="s">
        <v>24</v>
      </c>
      <c r="M115" s="19" t="s">
        <v>67</v>
      </c>
    </row>
    <row r="116" spans="1:13" ht="12.75">
      <c r="A116" s="16" t="s">
        <v>271</v>
      </c>
      <c r="B116" s="17">
        <v>45583</v>
      </c>
      <c r="C116" s="19" t="s">
        <v>5</v>
      </c>
      <c r="D116" s="19" t="s">
        <v>69</v>
      </c>
      <c r="E116" s="3">
        <v>2</v>
      </c>
      <c r="F116" s="5">
        <v>499</v>
      </c>
      <c r="G116" s="4">
        <v>0.1</v>
      </c>
      <c r="H116" s="5">
        <f t="shared" si="0"/>
        <v>898.2</v>
      </c>
      <c r="I116" s="7" t="e">
        <f ca="1">ROUND(_xludf.IFS(L116="Cancelled", 0, L116="Returned", -0.1*H116, C116="Electronics", 0.14*H116, C116="Appliances", 0.16*H116, C116="Fashion", 0.26*H116, C116="Home &amp; Kitchen", 0.22*H116, C116="Beauty &amp; Personal Care", 0.3*H116, C116="Sports &amp; Fitness", 0.2*H116, TRUE, 0.15*H116), 2)</f>
        <v>#NAME?</v>
      </c>
      <c r="J116" s="19" t="s">
        <v>46</v>
      </c>
      <c r="K116" s="19" t="s">
        <v>56</v>
      </c>
      <c r="L116" s="16" t="s">
        <v>24</v>
      </c>
      <c r="M116" s="19" t="s">
        <v>57</v>
      </c>
    </row>
    <row r="117" spans="1:13" ht="12.75">
      <c r="A117" s="16" t="s">
        <v>272</v>
      </c>
      <c r="B117" s="17">
        <v>45586</v>
      </c>
      <c r="C117" s="19" t="s">
        <v>6</v>
      </c>
      <c r="D117" s="19" t="s">
        <v>87</v>
      </c>
      <c r="E117" s="3">
        <v>2</v>
      </c>
      <c r="F117" s="5">
        <v>2495</v>
      </c>
      <c r="G117" s="4">
        <v>0.12</v>
      </c>
      <c r="H117" s="5">
        <f t="shared" si="0"/>
        <v>4391.2</v>
      </c>
      <c r="I117" s="7" t="e">
        <f ca="1">ROUND(_xludf.IFS(L117="Cancelled", 0, L117="Returned", -0.1*H117, C117="Electronics", 0.14*H117, C117="Appliances", 0.16*H117, C117="Fashion", 0.26*H117, C117="Home &amp; Kitchen", 0.22*H117, C117="Beauty &amp; Personal Care", 0.3*H117, C117="Sports &amp; Fitness", 0.2*H117, TRUE, 0.15*H117), 2)</f>
        <v>#NAME?</v>
      </c>
      <c r="J117" s="19" t="s">
        <v>66</v>
      </c>
      <c r="K117" s="19" t="s">
        <v>47</v>
      </c>
      <c r="L117" s="16" t="s">
        <v>24</v>
      </c>
      <c r="M117" s="19" t="s">
        <v>73</v>
      </c>
    </row>
    <row r="118" spans="1:13" ht="12.75">
      <c r="A118" s="16" t="s">
        <v>273</v>
      </c>
      <c r="B118" s="17">
        <v>45588</v>
      </c>
      <c r="C118" s="19" t="s">
        <v>4</v>
      </c>
      <c r="D118" s="19" t="s">
        <v>72</v>
      </c>
      <c r="E118" s="3">
        <v>2</v>
      </c>
      <c r="F118" s="5">
        <v>1299</v>
      </c>
      <c r="G118" s="4">
        <v>0.28000000000000003</v>
      </c>
      <c r="H118" s="5">
        <f t="shared" si="0"/>
        <v>1870.56</v>
      </c>
      <c r="I118" s="7" t="e">
        <f ca="1">ROUND(_xludf.IFS(L118="Cancelled", 0, L118="Returned", -0.1*H118, C118="Electronics", 0.14*H118, C118="Appliances", 0.16*H118, C118="Fashion", 0.26*H118, C118="Home &amp; Kitchen", 0.22*H118, C118="Beauty &amp; Personal Care", 0.3*H118, C118="Sports &amp; Fitness", 0.2*H118, TRUE, 0.15*H118), 2)</f>
        <v>#NAME?</v>
      </c>
      <c r="J118" s="19" t="s">
        <v>51</v>
      </c>
      <c r="K118" s="19" t="s">
        <v>47</v>
      </c>
      <c r="L118" s="16" t="s">
        <v>26</v>
      </c>
      <c r="M118" s="19" t="s">
        <v>70</v>
      </c>
    </row>
    <row r="119" spans="1:13" ht="12.75">
      <c r="A119" s="16" t="s">
        <v>274</v>
      </c>
      <c r="B119" s="17">
        <v>45591</v>
      </c>
      <c r="C119" s="19" t="s">
        <v>3</v>
      </c>
      <c r="D119" s="19" t="s">
        <v>92</v>
      </c>
      <c r="E119" s="3">
        <v>2</v>
      </c>
      <c r="F119" s="5">
        <v>980</v>
      </c>
      <c r="G119" s="4">
        <v>0.08</v>
      </c>
      <c r="H119" s="5">
        <f t="shared" si="0"/>
        <v>1803.2</v>
      </c>
      <c r="I119" s="7" t="e">
        <f ca="1">ROUND(_xludf.IFS(L119="Cancelled", 0, L119="Returned", -0.1*H119, C119="Electronics", 0.14*H119, C119="Appliances", 0.16*H119, C119="Fashion", 0.26*H119, C119="Home &amp; Kitchen", 0.22*H119, C119="Beauty &amp; Personal Care", 0.3*H119, C119="Sports &amp; Fitness", 0.2*H119, TRUE, 0.15*H119), 2)</f>
        <v>#NAME?</v>
      </c>
      <c r="J119" s="19" t="s">
        <v>55</v>
      </c>
      <c r="K119" s="19" t="s">
        <v>47</v>
      </c>
      <c r="L119" s="16" t="s">
        <v>24</v>
      </c>
      <c r="M119" s="19" t="s">
        <v>76</v>
      </c>
    </row>
    <row r="120" spans="1:13" ht="12.75">
      <c r="A120" s="16" t="s">
        <v>275</v>
      </c>
      <c r="B120" s="17">
        <v>45593</v>
      </c>
      <c r="C120" s="19" t="s">
        <v>2</v>
      </c>
      <c r="D120" s="19" t="s">
        <v>82</v>
      </c>
      <c r="E120" s="3">
        <v>3</v>
      </c>
      <c r="F120" s="5">
        <v>650</v>
      </c>
      <c r="G120" s="4">
        <v>0.1</v>
      </c>
      <c r="H120" s="5">
        <f t="shared" si="0"/>
        <v>1755</v>
      </c>
      <c r="I120" s="7" t="e">
        <f ca="1">ROUND(_xludf.IFS(L120="Cancelled", 0, L120="Returned", -0.1*H120, C120="Electronics", 0.14*H120, C120="Appliances", 0.16*H120, C120="Fashion", 0.26*H120, C120="Home &amp; Kitchen", 0.22*H120, C120="Beauty &amp; Personal Care", 0.3*H120, C120="Sports &amp; Fitness", 0.2*H120, TRUE, 0.15*H120), 2)</f>
        <v>#NAME?</v>
      </c>
      <c r="J120" s="19" t="s">
        <v>60</v>
      </c>
      <c r="K120" s="19" t="s">
        <v>47</v>
      </c>
      <c r="L120" s="16" t="s">
        <v>24</v>
      </c>
      <c r="M120" s="19" t="s">
        <v>61</v>
      </c>
    </row>
    <row r="121" spans="1:13" ht="12.75">
      <c r="A121" s="16" t="s">
        <v>276</v>
      </c>
      <c r="B121" s="17">
        <v>45596</v>
      </c>
      <c r="C121" s="19" t="s">
        <v>7</v>
      </c>
      <c r="D121" s="19" t="s">
        <v>84</v>
      </c>
      <c r="E121" s="3">
        <v>1</v>
      </c>
      <c r="F121" s="5">
        <v>2899</v>
      </c>
      <c r="G121" s="4">
        <v>0.18</v>
      </c>
      <c r="H121" s="5">
        <f t="shared" si="0"/>
        <v>2377.1799999999998</v>
      </c>
      <c r="I121" s="7" t="e">
        <f ca="1">ROUND(_xludf.IFS(L121="Cancelled", 0, L121="Returned", -0.1*H121, C121="Electronics", 0.14*H121, C121="Appliances", 0.16*H121, C121="Fashion", 0.26*H121, C121="Home &amp; Kitchen", 0.22*H121, C121="Beauty &amp; Personal Care", 0.3*H121, C121="Sports &amp; Fitness", 0.2*H121, TRUE, 0.15*H121), 2)</f>
        <v>#NAME?</v>
      </c>
      <c r="J121" s="19" t="s">
        <v>46</v>
      </c>
      <c r="K121" s="19" t="s">
        <v>47</v>
      </c>
      <c r="L121" s="16" t="s">
        <v>24</v>
      </c>
      <c r="M121" s="19" t="s">
        <v>48</v>
      </c>
    </row>
    <row r="122" spans="1:13" ht="12.75">
      <c r="A122" s="16" t="s">
        <v>277</v>
      </c>
      <c r="B122" s="17">
        <v>45598</v>
      </c>
      <c r="C122" s="19" t="s">
        <v>5</v>
      </c>
      <c r="D122" s="19" t="s">
        <v>89</v>
      </c>
      <c r="E122" s="3">
        <v>1</v>
      </c>
      <c r="F122" s="5">
        <v>1249</v>
      </c>
      <c r="G122" s="4">
        <v>0.15</v>
      </c>
      <c r="H122" s="5">
        <f t="shared" si="0"/>
        <v>1061.6500000000001</v>
      </c>
      <c r="I122" s="7" t="e">
        <f ca="1">ROUND(_xludf.IFS(L122="Cancelled", 0, L122="Returned", -0.1*H122, C122="Electronics", 0.14*H122, C122="Appliances", 0.16*H122, C122="Fashion", 0.26*H122, C122="Home &amp; Kitchen", 0.22*H122, C122="Beauty &amp; Personal Care", 0.3*H122, C122="Sports &amp; Fitness", 0.2*H122, TRUE, 0.15*H122), 2)</f>
        <v>#NAME?</v>
      </c>
      <c r="J122" s="19" t="s">
        <v>46</v>
      </c>
      <c r="K122" s="19" t="s">
        <v>56</v>
      </c>
      <c r="L122" s="16" t="s">
        <v>24</v>
      </c>
      <c r="M122" s="19" t="s">
        <v>80</v>
      </c>
    </row>
    <row r="123" spans="1:13" ht="12.75">
      <c r="A123" s="16" t="s">
        <v>278</v>
      </c>
      <c r="B123" s="17">
        <v>45601</v>
      </c>
      <c r="C123" s="19" t="s">
        <v>6</v>
      </c>
      <c r="D123" s="19" t="s">
        <v>96</v>
      </c>
      <c r="E123" s="3">
        <v>2</v>
      </c>
      <c r="F123" s="5">
        <v>1399</v>
      </c>
      <c r="G123" s="4">
        <v>0.2</v>
      </c>
      <c r="H123" s="5">
        <f t="shared" si="0"/>
        <v>2238.4</v>
      </c>
      <c r="I123" s="7" t="e">
        <f ca="1">ROUND(_xludf.IFS(L123="Cancelled", 0, L123="Returned", -0.1*H123, C123="Electronics", 0.14*H123, C123="Appliances", 0.16*H123, C123="Fashion", 0.26*H123, C123="Home &amp; Kitchen", 0.22*H123, C123="Beauty &amp; Personal Care", 0.3*H123, C123="Sports &amp; Fitness", 0.2*H123, TRUE, 0.15*H123), 2)</f>
        <v>#NAME?</v>
      </c>
      <c r="J123" s="19" t="s">
        <v>51</v>
      </c>
      <c r="K123" s="19" t="s">
        <v>56</v>
      </c>
      <c r="L123" s="16" t="s">
        <v>24</v>
      </c>
      <c r="M123" s="19" t="s">
        <v>64</v>
      </c>
    </row>
    <row r="124" spans="1:13" ht="12.75">
      <c r="A124" s="16" t="s">
        <v>279</v>
      </c>
      <c r="B124" s="17">
        <v>45603</v>
      </c>
      <c r="C124" s="19" t="s">
        <v>4</v>
      </c>
      <c r="D124" s="19" t="s">
        <v>31</v>
      </c>
      <c r="E124" s="3">
        <v>1</v>
      </c>
      <c r="F124" s="5">
        <v>3499</v>
      </c>
      <c r="G124" s="4">
        <v>0.22</v>
      </c>
      <c r="H124" s="5">
        <f t="shared" si="0"/>
        <v>2729.22</v>
      </c>
      <c r="I124" s="7" t="e">
        <f ca="1">ROUND(_xludf.IFS(L124="Cancelled", 0, L124="Returned", -0.1*H124, C124="Electronics", 0.14*H124, C124="Appliances", 0.16*H124, C124="Fashion", 0.26*H124, C124="Home &amp; Kitchen", 0.22*H124, C124="Beauty &amp; Personal Care", 0.3*H124, C124="Sports &amp; Fitness", 0.2*H124, TRUE, 0.15*H124), 2)</f>
        <v>#NAME?</v>
      </c>
      <c r="J124" s="19" t="s">
        <v>51</v>
      </c>
      <c r="K124" s="19" t="s">
        <v>56</v>
      </c>
      <c r="L124" s="16" t="s">
        <v>23</v>
      </c>
      <c r="M124" s="19" t="s">
        <v>52</v>
      </c>
    </row>
    <row r="125" spans="1:13" ht="12.75">
      <c r="A125" s="16" t="s">
        <v>280</v>
      </c>
      <c r="B125" s="17">
        <v>45606</v>
      </c>
      <c r="C125" s="19" t="s">
        <v>3</v>
      </c>
      <c r="D125" s="19" t="s">
        <v>103</v>
      </c>
      <c r="E125" s="3">
        <v>1</v>
      </c>
      <c r="F125" s="5">
        <v>1750</v>
      </c>
      <c r="G125" s="4">
        <v>0.1</v>
      </c>
      <c r="H125" s="5">
        <f t="shared" si="0"/>
        <v>1575</v>
      </c>
      <c r="I125" s="7" t="e">
        <f ca="1">ROUND(_xludf.IFS(L125="Cancelled", 0, L125="Returned", -0.1*H125, C125="Electronics", 0.14*H125, C125="Appliances", 0.16*H125, C125="Fashion", 0.26*H125, C125="Home &amp; Kitchen", 0.22*H125, C125="Beauty &amp; Personal Care", 0.3*H125, C125="Sports &amp; Fitness", 0.2*H125, TRUE, 0.15*H125), 2)</f>
        <v>#NAME?</v>
      </c>
      <c r="J125" s="19" t="s">
        <v>79</v>
      </c>
      <c r="K125" s="19" t="s">
        <v>47</v>
      </c>
      <c r="L125" s="16" t="s">
        <v>24</v>
      </c>
      <c r="M125" s="19" t="s">
        <v>67</v>
      </c>
    </row>
    <row r="126" spans="1:13" ht="12.75">
      <c r="A126" s="16" t="s">
        <v>281</v>
      </c>
      <c r="B126" s="17">
        <v>45608</v>
      </c>
      <c r="C126" s="19" t="s">
        <v>2</v>
      </c>
      <c r="D126" s="19" t="s">
        <v>94</v>
      </c>
      <c r="E126" s="3">
        <v>2</v>
      </c>
      <c r="F126" s="5">
        <v>599</v>
      </c>
      <c r="G126" s="4">
        <v>0.12</v>
      </c>
      <c r="H126" s="5">
        <f t="shared" si="0"/>
        <v>1054.24</v>
      </c>
      <c r="I126" s="7" t="e">
        <f ca="1">ROUND(_xludf.IFS(L126="Cancelled", 0, L126="Returned", -0.1*H126, C126="Electronics", 0.14*H126, C126="Appliances", 0.16*H126, C126="Fashion", 0.26*H126, C126="Home &amp; Kitchen", 0.22*H126, C126="Beauty &amp; Personal Care", 0.3*H126, C126="Sports &amp; Fitness", 0.2*H126, TRUE, 0.15*H126), 2)</f>
        <v>#NAME?</v>
      </c>
      <c r="J126" s="19" t="s">
        <v>46</v>
      </c>
      <c r="K126" s="19" t="s">
        <v>47</v>
      </c>
      <c r="L126" s="16" t="s">
        <v>24</v>
      </c>
      <c r="M126" s="19" t="s">
        <v>106</v>
      </c>
    </row>
    <row r="127" spans="1:13" ht="12.75">
      <c r="A127" s="16" t="s">
        <v>282</v>
      </c>
      <c r="B127" s="17">
        <v>45611</v>
      </c>
      <c r="C127" s="19" t="s">
        <v>7</v>
      </c>
      <c r="D127" s="19" t="s">
        <v>98</v>
      </c>
      <c r="E127" s="3">
        <v>1</v>
      </c>
      <c r="F127" s="5">
        <v>7792</v>
      </c>
      <c r="G127" s="4">
        <v>0.2</v>
      </c>
      <c r="H127" s="5">
        <f t="shared" si="0"/>
        <v>6233.6</v>
      </c>
      <c r="I127" s="7" t="e">
        <f ca="1">ROUND(_xludf.IFS(L127="Cancelled", 0, L127="Returned", -0.1*H127, C127="Electronics", 0.14*H127, C127="Appliances", 0.16*H127, C127="Fashion", 0.26*H127, C127="Home &amp; Kitchen", 0.22*H127, C127="Beauty &amp; Personal Care", 0.3*H127, C127="Sports &amp; Fitness", 0.2*H127, TRUE, 0.15*H127), 2)</f>
        <v>#NAME?</v>
      </c>
      <c r="J127" s="19" t="s">
        <v>51</v>
      </c>
      <c r="K127" s="19" t="s">
        <v>47</v>
      </c>
      <c r="L127" s="16" t="s">
        <v>24</v>
      </c>
      <c r="M127" s="19" t="s">
        <v>48</v>
      </c>
    </row>
    <row r="128" spans="1:13" ht="12.75">
      <c r="A128" s="16" t="s">
        <v>283</v>
      </c>
      <c r="B128" s="17">
        <v>45613</v>
      </c>
      <c r="C128" s="19" t="s">
        <v>5</v>
      </c>
      <c r="D128" s="19" t="s">
        <v>108</v>
      </c>
      <c r="E128" s="3">
        <v>2</v>
      </c>
      <c r="F128" s="5">
        <v>480</v>
      </c>
      <c r="G128" s="4">
        <v>0.05</v>
      </c>
      <c r="H128" s="5">
        <f t="shared" si="0"/>
        <v>912</v>
      </c>
      <c r="I128" s="7" t="e">
        <f ca="1">ROUND(_xludf.IFS(L128="Cancelled", 0, L128="Returned", -0.1*H128, C128="Electronics", 0.14*H128, C128="Appliances", 0.16*H128, C128="Fashion", 0.26*H128, C128="Home &amp; Kitchen", 0.22*H128, C128="Beauty &amp; Personal Care", 0.3*H128, C128="Sports &amp; Fitness", 0.2*H128, TRUE, 0.15*H128), 2)</f>
        <v>#NAME?</v>
      </c>
      <c r="J128" s="19" t="s">
        <v>46</v>
      </c>
      <c r="K128" s="19" t="s">
        <v>47</v>
      </c>
      <c r="L128" s="16" t="s">
        <v>24</v>
      </c>
      <c r="M128" s="19" t="s">
        <v>57</v>
      </c>
    </row>
    <row r="129" spans="1:13" ht="12.75">
      <c r="A129" s="16" t="s">
        <v>284</v>
      </c>
      <c r="B129" s="17">
        <v>45616</v>
      </c>
      <c r="C129" s="19" t="s">
        <v>6</v>
      </c>
      <c r="D129" s="19" t="s">
        <v>19</v>
      </c>
      <c r="E129" s="3">
        <v>1</v>
      </c>
      <c r="F129" s="5">
        <v>16999</v>
      </c>
      <c r="G129" s="4">
        <v>0.15</v>
      </c>
      <c r="H129" s="5">
        <f t="shared" si="0"/>
        <v>14449.15</v>
      </c>
      <c r="I129" s="7" t="e">
        <f ca="1">ROUND(_xludf.IFS(L129="Cancelled", 0, L129="Returned", -0.1*H129, C129="Electronics", 0.14*H129, C129="Appliances", 0.16*H129, C129="Fashion", 0.26*H129, C129="Home &amp; Kitchen", 0.22*H129, C129="Beauty &amp; Personal Care", 0.3*H129, C129="Sports &amp; Fitness", 0.2*H129, TRUE, 0.15*H129), 2)</f>
        <v>#NAME?</v>
      </c>
      <c r="J129" s="19" t="s">
        <v>66</v>
      </c>
      <c r="K129" s="19" t="s">
        <v>47</v>
      </c>
      <c r="L129" s="16" t="s">
        <v>24</v>
      </c>
      <c r="M129" s="19" t="s">
        <v>64</v>
      </c>
    </row>
    <row r="130" spans="1:13" ht="12.75">
      <c r="A130" s="16" t="s">
        <v>285</v>
      </c>
      <c r="B130" s="17">
        <v>45618</v>
      </c>
      <c r="C130" s="19" t="s">
        <v>4</v>
      </c>
      <c r="D130" s="19" t="s">
        <v>101</v>
      </c>
      <c r="E130" s="3">
        <v>2</v>
      </c>
      <c r="F130" s="5">
        <v>1199</v>
      </c>
      <c r="G130" s="4">
        <v>0.25</v>
      </c>
      <c r="H130" s="5">
        <f t="shared" si="0"/>
        <v>1798.5</v>
      </c>
      <c r="I130" s="7" t="e">
        <f ca="1">ROUND(_xludf.IFS(L130="Cancelled", 0, L130="Returned", -0.1*H130, C130="Electronics", 0.14*H130, C130="Appliances", 0.16*H130, C130="Fashion", 0.26*H130, C130="Home &amp; Kitchen", 0.22*H130, C130="Beauty &amp; Personal Care", 0.3*H130, C130="Sports &amp; Fitness", 0.2*H130, TRUE, 0.15*H130), 2)</f>
        <v>#NAME?</v>
      </c>
      <c r="J130" s="19" t="s">
        <v>46</v>
      </c>
      <c r="K130" s="19" t="s">
        <v>47</v>
      </c>
      <c r="L130" s="16" t="s">
        <v>24</v>
      </c>
      <c r="M130" s="19" t="s">
        <v>70</v>
      </c>
    </row>
    <row r="131" spans="1:13" ht="12.75">
      <c r="A131" s="16" t="s">
        <v>286</v>
      </c>
      <c r="B131" s="17">
        <v>45621</v>
      </c>
      <c r="C131" s="19" t="s">
        <v>3</v>
      </c>
      <c r="D131" s="19" t="s">
        <v>120</v>
      </c>
      <c r="E131" s="3">
        <v>1</v>
      </c>
      <c r="F131" s="5">
        <v>995</v>
      </c>
      <c r="G131" s="4">
        <v>0.1</v>
      </c>
      <c r="H131" s="5">
        <f t="shared" si="0"/>
        <v>895.5</v>
      </c>
      <c r="I131" s="7" t="e">
        <f ca="1">ROUND(_xludf.IFS(L131="Cancelled", 0, L131="Returned", -0.1*H131, C131="Electronics", 0.14*H131, C131="Appliances", 0.16*H131, C131="Fashion", 0.26*H131, C131="Home &amp; Kitchen", 0.22*H131, C131="Beauty &amp; Personal Care", 0.3*H131, C131="Sports &amp; Fitness", 0.2*H131, TRUE, 0.15*H131), 2)</f>
        <v>#NAME?</v>
      </c>
      <c r="J131" s="19" t="s">
        <v>60</v>
      </c>
      <c r="K131" s="19" t="s">
        <v>47</v>
      </c>
      <c r="L131" s="16" t="s">
        <v>24</v>
      </c>
      <c r="M131" s="19" t="s">
        <v>73</v>
      </c>
    </row>
    <row r="132" spans="1:13" ht="12.75">
      <c r="A132" s="16" t="s">
        <v>287</v>
      </c>
      <c r="B132" s="17">
        <v>45623</v>
      </c>
      <c r="C132" s="19" t="s">
        <v>2</v>
      </c>
      <c r="D132" s="19" t="s">
        <v>105</v>
      </c>
      <c r="E132" s="3">
        <v>2</v>
      </c>
      <c r="F132" s="5">
        <v>499</v>
      </c>
      <c r="G132" s="4">
        <v>0.15</v>
      </c>
      <c r="H132" s="5">
        <f t="shared" si="0"/>
        <v>848.3</v>
      </c>
      <c r="I132" s="7" t="e">
        <f ca="1">ROUND(_xludf.IFS(L132="Cancelled", 0, L132="Returned", -0.1*H132, C132="Electronics", 0.14*H132, C132="Appliances", 0.16*H132, C132="Fashion", 0.26*H132, C132="Home &amp; Kitchen", 0.22*H132, C132="Beauty &amp; Personal Care", 0.3*H132, C132="Sports &amp; Fitness", 0.2*H132, TRUE, 0.15*H132), 2)</f>
        <v>#NAME?</v>
      </c>
      <c r="J132" s="19" t="s">
        <v>60</v>
      </c>
      <c r="K132" s="19" t="s">
        <v>56</v>
      </c>
      <c r="L132" s="16" t="s">
        <v>26</v>
      </c>
      <c r="M132" s="19" t="s">
        <v>90</v>
      </c>
    </row>
    <row r="133" spans="1:13" ht="12.75">
      <c r="A133" s="16" t="s">
        <v>288</v>
      </c>
      <c r="B133" s="17">
        <v>45626</v>
      </c>
      <c r="C133" s="19" t="s">
        <v>7</v>
      </c>
      <c r="D133" s="19" t="s">
        <v>113</v>
      </c>
      <c r="E133" s="3">
        <v>2</v>
      </c>
      <c r="F133" s="5">
        <v>2199</v>
      </c>
      <c r="G133" s="4">
        <v>0.12</v>
      </c>
      <c r="H133" s="5">
        <f t="shared" si="0"/>
        <v>3870.24</v>
      </c>
      <c r="I133" s="7" t="e">
        <f ca="1">ROUND(_xludf.IFS(L133="Cancelled", 0, L133="Returned", -0.1*H133, C133="Electronics", 0.14*H133, C133="Appliances", 0.16*H133, C133="Fashion", 0.26*H133, C133="Home &amp; Kitchen", 0.22*H133, C133="Beauty &amp; Personal Care", 0.3*H133, C133="Sports &amp; Fitness", 0.2*H133, TRUE, 0.15*H133), 2)</f>
        <v>#NAME?</v>
      </c>
      <c r="J133" s="19" t="s">
        <v>55</v>
      </c>
      <c r="K133" s="19" t="s">
        <v>47</v>
      </c>
      <c r="L133" s="16" t="s">
        <v>24</v>
      </c>
      <c r="M133" s="19" t="s">
        <v>52</v>
      </c>
    </row>
    <row r="134" spans="1:13" ht="12.75">
      <c r="A134" s="16" t="s">
        <v>289</v>
      </c>
      <c r="B134" s="17">
        <v>45628</v>
      </c>
      <c r="C134" s="19" t="s">
        <v>5</v>
      </c>
      <c r="D134" s="19" t="s">
        <v>124</v>
      </c>
      <c r="E134" s="3">
        <v>2</v>
      </c>
      <c r="F134" s="5">
        <v>699</v>
      </c>
      <c r="G134" s="4">
        <v>0.15</v>
      </c>
      <c r="H134" s="5">
        <f t="shared" si="0"/>
        <v>1188.3</v>
      </c>
      <c r="I134" s="7" t="e">
        <f ca="1">ROUND(_xludf.IFS(L134="Cancelled", 0, L134="Returned", -0.1*H134, C134="Electronics", 0.14*H134, C134="Appliances", 0.16*H134, C134="Fashion", 0.26*H134, C134="Home &amp; Kitchen", 0.22*H134, C134="Beauty &amp; Personal Care", 0.3*H134, C134="Sports &amp; Fitness", 0.2*H134, TRUE, 0.15*H134), 2)</f>
        <v>#NAME?</v>
      </c>
      <c r="J134" s="19" t="s">
        <v>60</v>
      </c>
      <c r="K134" s="19" t="s">
        <v>56</v>
      </c>
      <c r="L134" s="16" t="s">
        <v>24</v>
      </c>
      <c r="M134" s="19" t="s">
        <v>48</v>
      </c>
    </row>
    <row r="135" spans="1:13" ht="12.75">
      <c r="A135" s="16" t="s">
        <v>290</v>
      </c>
      <c r="B135" s="17">
        <v>45631</v>
      </c>
      <c r="C135" s="19" t="s">
        <v>6</v>
      </c>
      <c r="D135" s="19" t="s">
        <v>111</v>
      </c>
      <c r="E135" s="3">
        <v>1</v>
      </c>
      <c r="F135" s="5">
        <v>2999</v>
      </c>
      <c r="G135" s="4">
        <v>0.18</v>
      </c>
      <c r="H135" s="5">
        <f t="shared" si="0"/>
        <v>2459.1799999999998</v>
      </c>
      <c r="I135" s="7" t="e">
        <f ca="1">ROUND(_xludf.IFS(L135="Cancelled", 0, L135="Returned", -0.1*H135, C135="Electronics", 0.14*H135, C135="Appliances", 0.16*H135, C135="Fashion", 0.26*H135, C135="Home &amp; Kitchen", 0.22*H135, C135="Beauty &amp; Personal Care", 0.3*H135, C135="Sports &amp; Fitness", 0.2*H135, TRUE, 0.15*H135), 2)</f>
        <v>#NAME?</v>
      </c>
      <c r="J135" s="19" t="s">
        <v>51</v>
      </c>
      <c r="K135" s="19" t="s">
        <v>47</v>
      </c>
      <c r="L135" s="16" t="s">
        <v>24</v>
      </c>
      <c r="M135" s="19" t="s">
        <v>67</v>
      </c>
    </row>
    <row r="136" spans="1:13" ht="12.75">
      <c r="A136" s="16" t="s">
        <v>291</v>
      </c>
      <c r="B136" s="17">
        <v>45633</v>
      </c>
      <c r="C136" s="19" t="s">
        <v>4</v>
      </c>
      <c r="D136" s="19" t="s">
        <v>116</v>
      </c>
      <c r="E136" s="3">
        <v>1</v>
      </c>
      <c r="F136" s="5">
        <v>1899</v>
      </c>
      <c r="G136" s="4">
        <v>0.3</v>
      </c>
      <c r="H136" s="5">
        <f t="shared" si="0"/>
        <v>1329.3</v>
      </c>
      <c r="I136" s="7" t="e">
        <f ca="1">ROUND(_xludf.IFS(L136="Cancelled", 0, L136="Returned", -0.1*H136, C136="Electronics", 0.14*H136, C136="Appliances", 0.16*H136, C136="Fashion", 0.26*H136, C136="Home &amp; Kitchen", 0.22*H136, C136="Beauty &amp; Personal Care", 0.3*H136, C136="Sports &amp; Fitness", 0.2*H136, TRUE, 0.15*H136), 2)</f>
        <v>#NAME?</v>
      </c>
      <c r="J136" s="19" t="s">
        <v>46</v>
      </c>
      <c r="K136" s="19" t="s">
        <v>56</v>
      </c>
      <c r="L136" s="16" t="s">
        <v>24</v>
      </c>
      <c r="M136" s="19" t="s">
        <v>114</v>
      </c>
    </row>
    <row r="137" spans="1:13" ht="12.75">
      <c r="A137" s="16" t="s">
        <v>292</v>
      </c>
      <c r="B137" s="17">
        <v>45636</v>
      </c>
      <c r="C137" s="19" t="s">
        <v>3</v>
      </c>
      <c r="D137" s="19" t="s">
        <v>132</v>
      </c>
      <c r="E137" s="3">
        <v>2</v>
      </c>
      <c r="F137" s="5">
        <v>449</v>
      </c>
      <c r="G137" s="4">
        <v>0.1</v>
      </c>
      <c r="H137" s="5">
        <f t="shared" si="0"/>
        <v>808.2</v>
      </c>
      <c r="I137" s="7" t="e">
        <f ca="1">ROUND(_xludf.IFS(L137="Cancelled", 0, L137="Returned", -0.1*H137, C137="Electronics", 0.14*H137, C137="Appliances", 0.16*H137, C137="Fashion", 0.26*H137, C137="Home &amp; Kitchen", 0.22*H137, C137="Beauty &amp; Personal Care", 0.3*H137, C137="Sports &amp; Fitness", 0.2*H137, TRUE, 0.15*H137), 2)</f>
        <v>#NAME?</v>
      </c>
      <c r="J137" s="19" t="s">
        <v>66</v>
      </c>
      <c r="K137" s="19" t="s">
        <v>47</v>
      </c>
      <c r="L137" s="16" t="s">
        <v>24</v>
      </c>
      <c r="M137" s="19" t="s">
        <v>57</v>
      </c>
    </row>
    <row r="138" spans="1:13" ht="12.75">
      <c r="A138" s="16" t="s">
        <v>293</v>
      </c>
      <c r="B138" s="17">
        <v>45638</v>
      </c>
      <c r="C138" s="19" t="s">
        <v>2</v>
      </c>
      <c r="D138" s="19" t="s">
        <v>122</v>
      </c>
      <c r="E138" s="3">
        <v>3</v>
      </c>
      <c r="F138" s="5">
        <v>549</v>
      </c>
      <c r="G138" s="4">
        <v>0.05</v>
      </c>
      <c r="H138" s="5">
        <f t="shared" si="0"/>
        <v>1564.65</v>
      </c>
      <c r="I138" s="7" t="e">
        <f ca="1">ROUND(_xludf.IFS(L138="Cancelled", 0, L138="Returned", -0.1*H138, C138="Electronics", 0.14*H138, C138="Appliances", 0.16*H138, C138="Fashion", 0.26*H138, C138="Home &amp; Kitchen", 0.22*H138, C138="Beauty &amp; Personal Care", 0.3*H138, C138="Sports &amp; Fitness", 0.2*H138, TRUE, 0.15*H138), 2)</f>
        <v>#NAME?</v>
      </c>
      <c r="J138" s="19" t="s">
        <v>46</v>
      </c>
      <c r="K138" s="19" t="s">
        <v>47</v>
      </c>
      <c r="L138" s="16" t="s">
        <v>24</v>
      </c>
      <c r="M138" s="19" t="s">
        <v>64</v>
      </c>
    </row>
    <row r="139" spans="1:13" ht="12.75">
      <c r="A139" s="16" t="s">
        <v>294</v>
      </c>
      <c r="B139" s="17">
        <v>45641</v>
      </c>
      <c r="C139" s="19" t="s">
        <v>7</v>
      </c>
      <c r="D139" s="19" t="s">
        <v>130</v>
      </c>
      <c r="E139" s="3">
        <v>1</v>
      </c>
      <c r="F139" s="5">
        <v>14999</v>
      </c>
      <c r="G139" s="4">
        <v>0.15</v>
      </c>
      <c r="H139" s="5">
        <f t="shared" si="0"/>
        <v>12749.15</v>
      </c>
      <c r="I139" s="7" t="e">
        <f ca="1">ROUND(_xludf.IFS(L139="Cancelled", 0, L139="Returned", -0.1*H139, C139="Electronics", 0.14*H139, C139="Appliances", 0.16*H139, C139="Fashion", 0.26*H139, C139="Home &amp; Kitchen", 0.22*H139, C139="Beauty &amp; Personal Care", 0.3*H139, C139="Sports &amp; Fitness", 0.2*H139, TRUE, 0.15*H139), 2)</f>
        <v>#NAME?</v>
      </c>
      <c r="J139" s="19" t="s">
        <v>51</v>
      </c>
      <c r="K139" s="19" t="s">
        <v>47</v>
      </c>
      <c r="L139" s="16" t="s">
        <v>24</v>
      </c>
      <c r="M139" s="19" t="s">
        <v>48</v>
      </c>
    </row>
    <row r="140" spans="1:13" ht="12.75">
      <c r="A140" s="16" t="s">
        <v>295</v>
      </c>
      <c r="B140" s="17">
        <v>45643</v>
      </c>
      <c r="C140" s="19" t="s">
        <v>5</v>
      </c>
      <c r="D140" s="19" t="s">
        <v>138</v>
      </c>
      <c r="E140" s="3">
        <v>2</v>
      </c>
      <c r="F140" s="5">
        <v>599</v>
      </c>
      <c r="G140" s="4">
        <v>0.1</v>
      </c>
      <c r="H140" s="5">
        <f t="shared" si="0"/>
        <v>1078.2</v>
      </c>
      <c r="I140" s="7" t="e">
        <f ca="1">ROUND(_xludf.IFS(L140="Cancelled", 0, L140="Returned", -0.1*H140, C140="Electronics", 0.14*H140, C140="Appliances", 0.16*H140, C140="Fashion", 0.26*H140, C140="Home &amp; Kitchen", 0.22*H140, C140="Beauty &amp; Personal Care", 0.3*H140, C140="Sports &amp; Fitness", 0.2*H140, TRUE, 0.15*H140), 2)</f>
        <v>#NAME?</v>
      </c>
      <c r="J140" s="19" t="s">
        <v>60</v>
      </c>
      <c r="K140" s="19" t="s">
        <v>47</v>
      </c>
      <c r="L140" s="16" t="s">
        <v>24</v>
      </c>
      <c r="M140" s="19" t="s">
        <v>109</v>
      </c>
    </row>
    <row r="141" spans="1:13" ht="12.75">
      <c r="A141" s="16" t="s">
        <v>296</v>
      </c>
      <c r="B141" s="17">
        <v>45646</v>
      </c>
      <c r="C141" s="19" t="s">
        <v>6</v>
      </c>
      <c r="D141" s="19" t="s">
        <v>118</v>
      </c>
      <c r="E141" s="3">
        <v>1</v>
      </c>
      <c r="F141" s="5">
        <v>10999</v>
      </c>
      <c r="G141" s="4">
        <v>0.08</v>
      </c>
      <c r="H141" s="5">
        <f t="shared" si="0"/>
        <v>10119.08</v>
      </c>
      <c r="I141" s="7" t="e">
        <f ca="1">ROUND(_xludf.IFS(L141="Cancelled", 0, L141="Returned", -0.1*H141, C141="Electronics", 0.14*H141, C141="Appliances", 0.16*H141, C141="Fashion", 0.26*H141, C141="Home &amp; Kitchen", 0.22*H141, C141="Beauty &amp; Personal Care", 0.3*H141, C141="Sports &amp; Fitness", 0.2*H141, TRUE, 0.15*H141), 2)</f>
        <v>#NAME?</v>
      </c>
      <c r="J141" s="19" t="s">
        <v>51</v>
      </c>
      <c r="K141" s="19" t="s">
        <v>47</v>
      </c>
      <c r="L141" s="16" t="s">
        <v>24</v>
      </c>
      <c r="M141" s="19" t="s">
        <v>52</v>
      </c>
    </row>
    <row r="142" spans="1:13" ht="12.75">
      <c r="A142" s="16" t="s">
        <v>297</v>
      </c>
      <c r="B142" s="17">
        <v>45648</v>
      </c>
      <c r="C142" s="19" t="s">
        <v>4</v>
      </c>
      <c r="D142" s="19" t="s">
        <v>128</v>
      </c>
      <c r="E142" s="3">
        <v>1</v>
      </c>
      <c r="F142" s="5">
        <v>1699</v>
      </c>
      <c r="G142" s="4">
        <v>0.32</v>
      </c>
      <c r="H142" s="5">
        <f t="shared" si="0"/>
        <v>1155.32</v>
      </c>
      <c r="I142" s="7" t="e">
        <f ca="1">ROUND(_xludf.IFS(L142="Cancelled", 0, L142="Returned", -0.1*H142, C142="Electronics", 0.14*H142, C142="Appliances", 0.16*H142, C142="Fashion", 0.26*H142, C142="Home &amp; Kitchen", 0.22*H142, C142="Beauty &amp; Personal Care", 0.3*H142, C142="Sports &amp; Fitness", 0.2*H142, TRUE, 0.15*H142), 2)</f>
        <v>#NAME?</v>
      </c>
      <c r="J142" s="19" t="s">
        <v>46</v>
      </c>
      <c r="K142" s="19" t="s">
        <v>47</v>
      </c>
      <c r="L142" s="16" t="s">
        <v>24</v>
      </c>
      <c r="M142" s="19" t="s">
        <v>61</v>
      </c>
    </row>
    <row r="143" spans="1:13" ht="12.75">
      <c r="A143" s="16" t="s">
        <v>298</v>
      </c>
      <c r="B143" s="17">
        <v>45651</v>
      </c>
      <c r="C143" s="19" t="s">
        <v>3</v>
      </c>
      <c r="D143" s="19" t="s">
        <v>144</v>
      </c>
      <c r="E143" s="3">
        <v>3</v>
      </c>
      <c r="F143" s="5">
        <v>349</v>
      </c>
      <c r="G143" s="4">
        <v>0.1</v>
      </c>
      <c r="H143" s="5">
        <f t="shared" si="0"/>
        <v>942.3</v>
      </c>
      <c r="I143" s="7" t="e">
        <f ca="1">ROUND(_xludf.IFS(L143="Cancelled", 0, L143="Returned", -0.1*H143, C143="Electronics", 0.14*H143, C143="Appliances", 0.16*H143, C143="Fashion", 0.26*H143, C143="Home &amp; Kitchen", 0.22*H143, C143="Beauty &amp; Personal Care", 0.3*H143, C143="Sports &amp; Fitness", 0.2*H143, TRUE, 0.15*H143), 2)</f>
        <v>#NAME?</v>
      </c>
      <c r="J143" s="19" t="s">
        <v>46</v>
      </c>
      <c r="K143" s="19" t="s">
        <v>47</v>
      </c>
      <c r="L143" s="16" t="s">
        <v>24</v>
      </c>
      <c r="M143" s="19" t="s">
        <v>70</v>
      </c>
    </row>
    <row r="144" spans="1:13" ht="12.75">
      <c r="A144" s="16" t="s">
        <v>299</v>
      </c>
      <c r="B144" s="17">
        <v>45653</v>
      </c>
      <c r="C144" s="19" t="s">
        <v>2</v>
      </c>
      <c r="D144" s="19" t="s">
        <v>136</v>
      </c>
      <c r="E144" s="3">
        <v>1</v>
      </c>
      <c r="F144" s="5">
        <v>1475</v>
      </c>
      <c r="G144" s="4">
        <v>0.05</v>
      </c>
      <c r="H144" s="5">
        <f t="shared" si="0"/>
        <v>1401.25</v>
      </c>
      <c r="I144" s="7" t="e">
        <f ca="1">ROUND(_xludf.IFS(L144="Cancelled", 0, L144="Returned", -0.1*H144, C144="Electronics", 0.14*H144, C144="Appliances", 0.16*H144, C144="Fashion", 0.26*H144, C144="Home &amp; Kitchen", 0.22*H144, C144="Beauty &amp; Personal Care", 0.3*H144, C144="Sports &amp; Fitness", 0.2*H144, TRUE, 0.15*H144), 2)</f>
        <v>#NAME?</v>
      </c>
      <c r="J144" s="19" t="s">
        <v>51</v>
      </c>
      <c r="K144" s="19" t="s">
        <v>47</v>
      </c>
      <c r="L144" s="16" t="s">
        <v>24</v>
      </c>
      <c r="M144" s="19" t="s">
        <v>73</v>
      </c>
    </row>
    <row r="145" spans="1:13" ht="12.75">
      <c r="A145" s="16" t="s">
        <v>300</v>
      </c>
      <c r="B145" s="17">
        <v>45656</v>
      </c>
      <c r="C145" s="19" t="s">
        <v>7</v>
      </c>
      <c r="D145" s="19" t="s">
        <v>140</v>
      </c>
      <c r="E145" s="3">
        <v>1</v>
      </c>
      <c r="F145" s="5">
        <v>6299</v>
      </c>
      <c r="G145" s="4">
        <v>0.18</v>
      </c>
      <c r="H145" s="5">
        <f t="shared" si="0"/>
        <v>5165.18</v>
      </c>
      <c r="I145" s="7" t="e">
        <f ca="1">ROUND(_xludf.IFS(L145="Cancelled", 0, L145="Returned", -0.1*H145, C145="Electronics", 0.14*H145, C145="Appliances", 0.16*H145, C145="Fashion", 0.26*H145, C145="Home &amp; Kitchen", 0.22*H145, C145="Beauty &amp; Personal Care", 0.3*H145, C145="Sports &amp; Fitness", 0.2*H145, TRUE, 0.15*H145), 2)</f>
        <v>#NAME?</v>
      </c>
      <c r="J145" s="19" t="s">
        <v>55</v>
      </c>
      <c r="K145" s="19" t="s">
        <v>47</v>
      </c>
      <c r="L145" s="16" t="s">
        <v>24</v>
      </c>
      <c r="M145" s="19" t="s">
        <v>64</v>
      </c>
    </row>
    <row r="146" spans="1:13" ht="12.75">
      <c r="A146" s="16" t="s">
        <v>301</v>
      </c>
      <c r="B146" s="17">
        <v>45659</v>
      </c>
      <c r="C146" s="19" t="s">
        <v>5</v>
      </c>
      <c r="D146" s="19" t="s">
        <v>11</v>
      </c>
      <c r="E146" s="3">
        <v>1</v>
      </c>
      <c r="F146" s="5">
        <v>28990</v>
      </c>
      <c r="G146" s="4">
        <v>0.22</v>
      </c>
      <c r="H146" s="5">
        <f t="shared" si="0"/>
        <v>22612.2</v>
      </c>
      <c r="I146" s="7" t="e">
        <f ca="1">ROUND(_xludf.IFS(L146="Cancelled", 0, L146="Returned", -0.1*H146, C146="Electronics", 0.14*H146, C146="Appliances", 0.16*H146, C146="Fashion", 0.26*H146, C146="Home &amp; Kitchen", 0.22*H146, C146="Beauty &amp; Personal Care", 0.3*H146, C146="Sports &amp; Fitness", 0.2*H146, TRUE, 0.15*H146), 2)</f>
        <v>#NAME?</v>
      </c>
      <c r="J146" s="19" t="s">
        <v>51</v>
      </c>
      <c r="K146" s="19" t="s">
        <v>56</v>
      </c>
      <c r="L146" s="16" t="s">
        <v>24</v>
      </c>
      <c r="M146" s="19" t="s">
        <v>48</v>
      </c>
    </row>
    <row r="147" spans="1:13" ht="12.75">
      <c r="A147" s="16" t="s">
        <v>302</v>
      </c>
      <c r="B147" s="17">
        <v>45661</v>
      </c>
      <c r="C147" s="19" t="s">
        <v>6</v>
      </c>
      <c r="D147" s="19" t="s">
        <v>126</v>
      </c>
      <c r="E147" s="3">
        <v>3</v>
      </c>
      <c r="F147" s="5">
        <v>849</v>
      </c>
      <c r="G147" s="4">
        <v>0.2</v>
      </c>
      <c r="H147" s="5">
        <f t="shared" si="0"/>
        <v>2037.6</v>
      </c>
      <c r="I147" s="7" t="e">
        <f ca="1">ROUND(_xludf.IFS(L147="Cancelled", 0, L147="Returned", -0.1*H147, C147="Electronics", 0.14*H147, C147="Appliances", 0.16*H147, C147="Fashion", 0.26*H147, C147="Home &amp; Kitchen", 0.22*H147, C147="Beauty &amp; Personal Care", 0.3*H147, C147="Sports &amp; Fitness", 0.2*H147, TRUE, 0.15*H147), 2)</f>
        <v>#NAME?</v>
      </c>
      <c r="J147" s="19" t="s">
        <v>79</v>
      </c>
      <c r="K147" s="19" t="s">
        <v>47</v>
      </c>
      <c r="L147" s="16" t="s">
        <v>24</v>
      </c>
      <c r="M147" s="19" t="s">
        <v>52</v>
      </c>
    </row>
    <row r="148" spans="1:13" ht="12.75">
      <c r="A148" s="16" t="s">
        <v>303</v>
      </c>
      <c r="B148" s="17">
        <v>45664</v>
      </c>
      <c r="C148" s="19" t="s">
        <v>4</v>
      </c>
      <c r="D148" s="19" t="s">
        <v>32</v>
      </c>
      <c r="E148" s="3">
        <v>2</v>
      </c>
      <c r="F148" s="5">
        <v>1499</v>
      </c>
      <c r="G148" s="4">
        <v>0.25</v>
      </c>
      <c r="H148" s="5">
        <f t="shared" si="0"/>
        <v>2248.5</v>
      </c>
      <c r="I148" s="7" t="e">
        <f ca="1">ROUND(_xludf.IFS(L148="Cancelled", 0, L148="Returned", -0.1*H148, C148="Electronics", 0.14*H148, C148="Appliances", 0.16*H148, C148="Fashion", 0.26*H148, C148="Home &amp; Kitchen", 0.22*H148, C148="Beauty &amp; Personal Care", 0.3*H148, C148="Sports &amp; Fitness", 0.2*H148, TRUE, 0.15*H148), 2)</f>
        <v>#NAME?</v>
      </c>
      <c r="J148" s="19" t="s">
        <v>51</v>
      </c>
      <c r="K148" s="19" t="s">
        <v>56</v>
      </c>
      <c r="L148" s="16" t="s">
        <v>23</v>
      </c>
      <c r="M148" s="19" t="s">
        <v>67</v>
      </c>
    </row>
    <row r="149" spans="1:13" ht="12.75">
      <c r="A149" s="16" t="s">
        <v>304</v>
      </c>
      <c r="B149" s="17">
        <v>45666</v>
      </c>
      <c r="C149" s="19" t="s">
        <v>3</v>
      </c>
      <c r="D149" s="19" t="s">
        <v>153</v>
      </c>
      <c r="E149" s="3">
        <v>1</v>
      </c>
      <c r="F149" s="5">
        <v>2699</v>
      </c>
      <c r="G149" s="4">
        <v>0.18</v>
      </c>
      <c r="H149" s="5">
        <f t="shared" si="0"/>
        <v>2213.1799999999998</v>
      </c>
      <c r="I149" s="7" t="e">
        <f ca="1">ROUND(_xludf.IFS(L149="Cancelled", 0, L149="Returned", -0.1*H149, C149="Electronics", 0.14*H149, C149="Appliances", 0.16*H149, C149="Fashion", 0.26*H149, C149="Home &amp; Kitchen", 0.22*H149, C149="Beauty &amp; Personal Care", 0.3*H149, C149="Sports &amp; Fitness", 0.2*H149, TRUE, 0.15*H149), 2)</f>
        <v>#NAME?</v>
      </c>
      <c r="J149" s="19" t="s">
        <v>46</v>
      </c>
      <c r="K149" s="19" t="s">
        <v>56</v>
      </c>
      <c r="L149" s="16" t="s">
        <v>26</v>
      </c>
      <c r="M149" s="19" t="s">
        <v>57</v>
      </c>
    </row>
    <row r="150" spans="1:13" ht="12.75">
      <c r="A150" s="16" t="s">
        <v>305</v>
      </c>
      <c r="B150" s="17">
        <v>45669</v>
      </c>
      <c r="C150" s="19" t="s">
        <v>2</v>
      </c>
      <c r="D150" s="19" t="s">
        <v>146</v>
      </c>
      <c r="E150" s="3">
        <v>2</v>
      </c>
      <c r="F150" s="5">
        <v>345</v>
      </c>
      <c r="G150" s="4">
        <v>0.15</v>
      </c>
      <c r="H150" s="5">
        <f t="shared" si="0"/>
        <v>586.5</v>
      </c>
      <c r="I150" s="7" t="e">
        <f ca="1">ROUND(_xludf.IFS(L150="Cancelled", 0, L150="Returned", -0.1*H150, C150="Electronics", 0.14*H150, C150="Appliances", 0.16*H150, C150="Fashion", 0.26*H150, C150="Home &amp; Kitchen", 0.22*H150, C150="Beauty &amp; Personal Care", 0.3*H150, C150="Sports &amp; Fitness", 0.2*H150, TRUE, 0.15*H150), 2)</f>
        <v>#NAME?</v>
      </c>
      <c r="J150" s="19" t="s">
        <v>66</v>
      </c>
      <c r="K150" s="19" t="s">
        <v>47</v>
      </c>
      <c r="L150" s="16" t="s">
        <v>24</v>
      </c>
      <c r="M150" s="19" t="s">
        <v>76</v>
      </c>
    </row>
    <row r="151" spans="1:13" ht="12.75">
      <c r="A151" s="16" t="s">
        <v>306</v>
      </c>
      <c r="B151" s="17">
        <v>45671</v>
      </c>
      <c r="C151" s="19" t="s">
        <v>7</v>
      </c>
      <c r="D151" s="19" t="s">
        <v>15</v>
      </c>
      <c r="E151" s="3">
        <v>1</v>
      </c>
      <c r="F151" s="5">
        <v>27490</v>
      </c>
      <c r="G151" s="4">
        <v>0.15</v>
      </c>
      <c r="H151" s="5">
        <f t="shared" si="0"/>
        <v>23366.5</v>
      </c>
      <c r="I151" s="7" t="e">
        <f ca="1">ROUND(_xludf.IFS(L151="Cancelled", 0, L151="Returned", -0.1*H151, C151="Electronics", 0.14*H151, C151="Appliances", 0.16*H151, C151="Fashion", 0.26*H151, C151="Home &amp; Kitchen", 0.22*H151, C151="Beauty &amp; Personal Care", 0.3*H151, C151="Sports &amp; Fitness", 0.2*H151, TRUE, 0.15*H151), 2)</f>
        <v>#NAME?</v>
      </c>
      <c r="J151" s="19" t="s">
        <v>55</v>
      </c>
      <c r="K151" s="19" t="s">
        <v>47</v>
      </c>
      <c r="L151" s="16" t="s">
        <v>24</v>
      </c>
      <c r="M151" s="19" t="s">
        <v>48</v>
      </c>
    </row>
    <row r="152" spans="1:13" ht="12.75">
      <c r="A152" s="16" t="s">
        <v>307</v>
      </c>
      <c r="B152" s="17">
        <v>45673</v>
      </c>
      <c r="C152" s="19" t="s">
        <v>5</v>
      </c>
      <c r="D152" s="19" t="s">
        <v>69</v>
      </c>
      <c r="E152" s="3">
        <v>2</v>
      </c>
      <c r="F152" s="5">
        <v>499</v>
      </c>
      <c r="G152" s="4">
        <v>0.1</v>
      </c>
      <c r="H152" s="5">
        <f t="shared" si="0"/>
        <v>898.2</v>
      </c>
      <c r="I152" s="7" t="e">
        <f ca="1">ROUND(_xludf.IFS(L152="Cancelled", 0, L152="Returned", -0.1*H152, C152="Electronics", 0.14*H152, C152="Appliances", 0.16*H152, C152="Fashion", 0.26*H152, C152="Home &amp; Kitchen", 0.22*H152, C152="Beauty &amp; Personal Care", 0.3*H152, C152="Sports &amp; Fitness", 0.2*H152, TRUE, 0.15*H152), 2)</f>
        <v>#NAME?</v>
      </c>
      <c r="J152" s="19" t="s">
        <v>46</v>
      </c>
      <c r="K152" s="19" t="s">
        <v>56</v>
      </c>
      <c r="L152" s="16" t="s">
        <v>24</v>
      </c>
      <c r="M152" s="19" t="s">
        <v>64</v>
      </c>
    </row>
    <row r="153" spans="1:13" ht="12.75">
      <c r="A153" s="16" t="s">
        <v>308</v>
      </c>
      <c r="B153" s="17">
        <v>45676</v>
      </c>
      <c r="C153" s="19" t="s">
        <v>6</v>
      </c>
      <c r="D153" s="19" t="s">
        <v>16</v>
      </c>
      <c r="E153" s="3">
        <v>1</v>
      </c>
      <c r="F153" s="5">
        <v>24999</v>
      </c>
      <c r="G153" s="4">
        <v>0.2</v>
      </c>
      <c r="H153" s="5">
        <f t="shared" si="0"/>
        <v>19999.2</v>
      </c>
      <c r="I153" s="7" t="e">
        <f ca="1">ROUND(_xludf.IFS(L153="Cancelled", 0, L153="Returned", -0.1*H153, C153="Electronics", 0.14*H153, C153="Appliances", 0.16*H153, C153="Fashion", 0.26*H153, C153="Home &amp; Kitchen", 0.22*H153, C153="Beauty &amp; Personal Care", 0.3*H153, C153="Sports &amp; Fitness", 0.2*H153, TRUE, 0.15*H153), 2)</f>
        <v>#NAME?</v>
      </c>
      <c r="J153" s="19" t="s">
        <v>51</v>
      </c>
      <c r="K153" s="19" t="s">
        <v>47</v>
      </c>
      <c r="L153" s="16" t="s">
        <v>24</v>
      </c>
      <c r="M153" s="19" t="s">
        <v>48</v>
      </c>
    </row>
    <row r="154" spans="1:13" ht="12.75">
      <c r="A154" s="16" t="s">
        <v>309</v>
      </c>
      <c r="B154" s="17">
        <v>45678</v>
      </c>
      <c r="C154" s="19" t="s">
        <v>4</v>
      </c>
      <c r="D154" s="19" t="s">
        <v>150</v>
      </c>
      <c r="E154" s="3">
        <v>2</v>
      </c>
      <c r="F154" s="5">
        <v>1599</v>
      </c>
      <c r="G154" s="4">
        <v>0.3</v>
      </c>
      <c r="H154" s="5">
        <f t="shared" si="0"/>
        <v>2238.6</v>
      </c>
      <c r="I154" s="7" t="e">
        <f ca="1">ROUND(_xludf.IFS(L154="Cancelled", 0, L154="Returned", -0.1*H154, C154="Electronics", 0.14*H154, C154="Appliances", 0.16*H154, C154="Fashion", 0.26*H154, C154="Home &amp; Kitchen", 0.22*H154, C154="Beauty &amp; Personal Care", 0.3*H154, C154="Sports &amp; Fitness", 0.2*H154, TRUE, 0.15*H154), 2)</f>
        <v>#NAME?</v>
      </c>
      <c r="J154" s="19" t="s">
        <v>46</v>
      </c>
      <c r="K154" s="19" t="s">
        <v>47</v>
      </c>
      <c r="L154" s="16" t="s">
        <v>24</v>
      </c>
      <c r="M154" s="19" t="s">
        <v>52</v>
      </c>
    </row>
    <row r="155" spans="1:13" ht="12.75">
      <c r="A155" s="16" t="s">
        <v>310</v>
      </c>
      <c r="B155" s="17">
        <v>45681</v>
      </c>
      <c r="C155" s="19" t="s">
        <v>3</v>
      </c>
      <c r="D155" s="19" t="s">
        <v>54</v>
      </c>
      <c r="E155" s="3">
        <v>1</v>
      </c>
      <c r="F155" s="5">
        <v>3299</v>
      </c>
      <c r="G155" s="4">
        <v>0.15</v>
      </c>
      <c r="H155" s="5">
        <f t="shared" si="0"/>
        <v>2804.15</v>
      </c>
      <c r="I155" s="7" t="e">
        <f ca="1">ROUND(_xludf.IFS(L155="Cancelled", 0, L155="Returned", -0.1*H155, C155="Electronics", 0.14*H155, C155="Appliances", 0.16*H155, C155="Fashion", 0.26*H155, C155="Home &amp; Kitchen", 0.22*H155, C155="Beauty &amp; Personal Care", 0.3*H155, C155="Sports &amp; Fitness", 0.2*H155, TRUE, 0.15*H155), 2)</f>
        <v>#NAME?</v>
      </c>
      <c r="J155" s="19" t="s">
        <v>55</v>
      </c>
      <c r="K155" s="19" t="s">
        <v>47</v>
      </c>
      <c r="L155" s="16" t="s">
        <v>24</v>
      </c>
      <c r="M155" s="19" t="s">
        <v>57</v>
      </c>
    </row>
    <row r="156" spans="1:13" ht="12.75">
      <c r="A156" s="16" t="s">
        <v>311</v>
      </c>
      <c r="B156" s="17">
        <v>45683</v>
      </c>
      <c r="C156" s="19" t="s">
        <v>2</v>
      </c>
      <c r="D156" s="19" t="s">
        <v>155</v>
      </c>
      <c r="E156" s="3">
        <v>2</v>
      </c>
      <c r="F156" s="5">
        <v>420</v>
      </c>
      <c r="G156" s="4">
        <v>0.1</v>
      </c>
      <c r="H156" s="5">
        <f t="shared" si="0"/>
        <v>756</v>
      </c>
      <c r="I156" s="7" t="e">
        <f ca="1">ROUND(_xludf.IFS(L156="Cancelled", 0, L156="Returned", -0.1*H156, C156="Electronics", 0.14*H156, C156="Appliances", 0.16*H156, C156="Fashion", 0.26*H156, C156="Home &amp; Kitchen", 0.22*H156, C156="Beauty &amp; Personal Care", 0.3*H156, C156="Sports &amp; Fitness", 0.2*H156, TRUE, 0.15*H156), 2)</f>
        <v>#NAME?</v>
      </c>
      <c r="J156" s="19" t="s">
        <v>60</v>
      </c>
      <c r="K156" s="19" t="s">
        <v>47</v>
      </c>
      <c r="L156" s="16" t="s">
        <v>24</v>
      </c>
      <c r="M156" s="19" t="s">
        <v>61</v>
      </c>
    </row>
    <row r="157" spans="1:13" ht="12.75">
      <c r="A157" s="16" t="s">
        <v>312</v>
      </c>
      <c r="B157" s="17">
        <v>45686</v>
      </c>
      <c r="C157" s="19" t="s">
        <v>7</v>
      </c>
      <c r="D157" s="19" t="s">
        <v>14</v>
      </c>
      <c r="E157" s="3">
        <v>1</v>
      </c>
      <c r="F157" s="5">
        <v>23990</v>
      </c>
      <c r="G157" s="4">
        <v>0.15</v>
      </c>
      <c r="H157" s="5">
        <f t="shared" si="0"/>
        <v>20391.5</v>
      </c>
      <c r="I157" s="7" t="e">
        <f ca="1">ROUND(_xludf.IFS(L157="Cancelled", 0, L157="Returned", -0.1*H157, C157="Electronics", 0.14*H157, C157="Appliances", 0.16*H157, C157="Fashion", 0.26*H157, C157="Home &amp; Kitchen", 0.22*H157, C157="Beauty &amp; Personal Care", 0.3*H157, C157="Sports &amp; Fitness", 0.2*H157, TRUE, 0.15*H157), 2)</f>
        <v>#NAME?</v>
      </c>
      <c r="J157" s="19" t="s">
        <v>51</v>
      </c>
      <c r="K157" s="19" t="s">
        <v>47</v>
      </c>
      <c r="L157" s="16" t="s">
        <v>24</v>
      </c>
      <c r="M157" s="19" t="s">
        <v>67</v>
      </c>
    </row>
    <row r="158" spans="1:13" ht="12.75">
      <c r="A158" s="16" t="s">
        <v>313</v>
      </c>
      <c r="B158" s="17">
        <v>45688</v>
      </c>
      <c r="C158" s="19" t="s">
        <v>5</v>
      </c>
      <c r="D158" s="19" t="s">
        <v>89</v>
      </c>
      <c r="E158" s="3">
        <v>1</v>
      </c>
      <c r="F158" s="5">
        <v>1249</v>
      </c>
      <c r="G158" s="4">
        <v>0.15</v>
      </c>
      <c r="H158" s="5">
        <f t="shared" si="0"/>
        <v>1061.6500000000001</v>
      </c>
      <c r="I158" s="7" t="e">
        <f ca="1">ROUND(_xludf.IFS(L158="Cancelled", 0, L158="Returned", -0.1*H158, C158="Electronics", 0.14*H158, C158="Appliances", 0.16*H158, C158="Fashion", 0.26*H158, C158="Home &amp; Kitchen", 0.22*H158, C158="Beauty &amp; Personal Care", 0.3*H158, C158="Sports &amp; Fitness", 0.2*H158, TRUE, 0.15*H158), 2)</f>
        <v>#NAME?</v>
      </c>
      <c r="J158" s="19" t="s">
        <v>46</v>
      </c>
      <c r="K158" s="19" t="s">
        <v>56</v>
      </c>
      <c r="L158" s="16" t="s">
        <v>24</v>
      </c>
      <c r="M158" s="19" t="s">
        <v>70</v>
      </c>
    </row>
    <row r="159" spans="1:13" ht="12.75">
      <c r="A159" s="16" t="s">
        <v>314</v>
      </c>
      <c r="B159" s="17">
        <v>45691</v>
      </c>
      <c r="C159" s="19" t="s">
        <v>6</v>
      </c>
      <c r="D159" s="19" t="s">
        <v>20</v>
      </c>
      <c r="E159" s="3">
        <v>1</v>
      </c>
      <c r="F159" s="5">
        <v>29990</v>
      </c>
      <c r="G159" s="4">
        <v>0.1</v>
      </c>
      <c r="H159" s="5">
        <f t="shared" si="0"/>
        <v>26991</v>
      </c>
      <c r="I159" s="7" t="e">
        <f ca="1">ROUND(_xludf.IFS(L159="Cancelled", 0, L159="Returned", -0.1*H159, C159="Electronics", 0.14*H159, C159="Appliances", 0.16*H159, C159="Fashion", 0.26*H159, C159="Home &amp; Kitchen", 0.22*H159, C159="Beauty &amp; Personal Care", 0.3*H159, C159="Sports &amp; Fitness", 0.2*H159, TRUE, 0.15*H159), 2)</f>
        <v>#NAME?</v>
      </c>
      <c r="J159" s="19" t="s">
        <v>51</v>
      </c>
      <c r="K159" s="19" t="s">
        <v>47</v>
      </c>
      <c r="L159" s="16" t="s">
        <v>24</v>
      </c>
      <c r="M159" s="19" t="s">
        <v>64</v>
      </c>
    </row>
    <row r="160" spans="1:13" ht="12.75">
      <c r="A160" s="16" t="s">
        <v>315</v>
      </c>
      <c r="B160" s="17">
        <v>45693</v>
      </c>
      <c r="C160" s="19" t="s">
        <v>4</v>
      </c>
      <c r="D160" s="19" t="s">
        <v>159</v>
      </c>
      <c r="E160" s="3">
        <v>2</v>
      </c>
      <c r="F160" s="5">
        <v>1299</v>
      </c>
      <c r="G160" s="4">
        <v>0.2</v>
      </c>
      <c r="H160" s="5">
        <f t="shared" si="0"/>
        <v>2078.4</v>
      </c>
      <c r="I160" s="7" t="e">
        <f ca="1">ROUND(_xludf.IFS(L160="Cancelled", 0, L160="Returned", -0.1*H160, C160="Electronics", 0.14*H160, C160="Appliances", 0.16*H160, C160="Fashion", 0.26*H160, C160="Home &amp; Kitchen", 0.22*H160, C160="Beauty &amp; Personal Care", 0.3*H160, C160="Sports &amp; Fitness", 0.2*H160, TRUE, 0.15*H160), 2)</f>
        <v>#NAME?</v>
      </c>
      <c r="J160" s="19" t="s">
        <v>46</v>
      </c>
      <c r="K160" s="19" t="s">
        <v>47</v>
      </c>
      <c r="L160" s="16" t="s">
        <v>24</v>
      </c>
      <c r="M160" s="19" t="s">
        <v>48</v>
      </c>
    </row>
    <row r="161" spans="1:13" ht="12.75">
      <c r="A161" s="16" t="s">
        <v>316</v>
      </c>
      <c r="B161" s="17">
        <v>45696</v>
      </c>
      <c r="C161" s="19" t="s">
        <v>3</v>
      </c>
      <c r="D161" s="19" t="s">
        <v>75</v>
      </c>
      <c r="E161" s="3">
        <v>1</v>
      </c>
      <c r="F161" s="5">
        <v>1899</v>
      </c>
      <c r="G161" s="4">
        <v>0.15</v>
      </c>
      <c r="H161" s="5">
        <f t="shared" si="0"/>
        <v>1614.15</v>
      </c>
      <c r="I161" s="7" t="e">
        <f ca="1">ROUND(_xludf.IFS(L161="Cancelled", 0, L161="Returned", -0.1*H161, C161="Electronics", 0.14*H161, C161="Appliances", 0.16*H161, C161="Fashion", 0.26*H161, C161="Home &amp; Kitchen", 0.22*H161, C161="Beauty &amp; Personal Care", 0.3*H161, C161="Sports &amp; Fitness", 0.2*H161, TRUE, 0.15*H161), 2)</f>
        <v>#NAME?</v>
      </c>
      <c r="J161" s="19" t="s">
        <v>46</v>
      </c>
      <c r="K161" s="19" t="s">
        <v>47</v>
      </c>
      <c r="L161" s="16" t="s">
        <v>24</v>
      </c>
      <c r="M161" s="19" t="s">
        <v>73</v>
      </c>
    </row>
    <row r="162" spans="1:13" ht="12.75">
      <c r="A162" s="16" t="s">
        <v>317</v>
      </c>
      <c r="B162" s="17">
        <v>45698</v>
      </c>
      <c r="C162" s="19" t="s">
        <v>2</v>
      </c>
      <c r="D162" s="19" t="s">
        <v>163</v>
      </c>
      <c r="E162" s="3">
        <v>3</v>
      </c>
      <c r="F162" s="5">
        <v>445</v>
      </c>
      <c r="G162" s="4">
        <v>0.08</v>
      </c>
      <c r="H162" s="5">
        <f t="shared" si="0"/>
        <v>1228.2</v>
      </c>
      <c r="I162" s="7" t="e">
        <f ca="1">ROUND(_xludf.IFS(L162="Cancelled", 0, L162="Returned", -0.1*H162, C162="Electronics", 0.14*H162, C162="Appliances", 0.16*H162, C162="Fashion", 0.26*H162, C162="Home &amp; Kitchen", 0.22*H162, C162="Beauty &amp; Personal Care", 0.3*H162, C162="Sports &amp; Fitness", 0.2*H162, TRUE, 0.15*H162), 2)</f>
        <v>#NAME?</v>
      </c>
      <c r="J162" s="19" t="s">
        <v>66</v>
      </c>
      <c r="K162" s="19" t="s">
        <v>47</v>
      </c>
      <c r="L162" s="16" t="s">
        <v>24</v>
      </c>
      <c r="M162" s="19" t="s">
        <v>76</v>
      </c>
    </row>
    <row r="163" spans="1:13" ht="12.75">
      <c r="A163" s="16" t="s">
        <v>318</v>
      </c>
      <c r="B163" s="17">
        <v>45701</v>
      </c>
      <c r="C163" s="19" t="s">
        <v>7</v>
      </c>
      <c r="D163" s="19" t="s">
        <v>18</v>
      </c>
      <c r="E163" s="3">
        <v>1</v>
      </c>
      <c r="F163" s="5">
        <v>24490</v>
      </c>
      <c r="G163" s="4">
        <v>0.12</v>
      </c>
      <c r="H163" s="5">
        <f t="shared" si="0"/>
        <v>21551.200000000001</v>
      </c>
      <c r="I163" s="7" t="e">
        <f ca="1">ROUND(_xludf.IFS(L163="Cancelled", 0, L163="Returned", -0.1*H163, C163="Electronics", 0.14*H163, C163="Appliances", 0.16*H163, C163="Fashion", 0.26*H163, C163="Home &amp; Kitchen", 0.22*H163, C163="Beauty &amp; Personal Care", 0.3*H163, C163="Sports &amp; Fitness", 0.2*H163, TRUE, 0.15*H163), 2)</f>
        <v>#NAME?</v>
      </c>
      <c r="J163" s="19" t="s">
        <v>51</v>
      </c>
      <c r="K163" s="19" t="s">
        <v>47</v>
      </c>
      <c r="L163" s="16" t="s">
        <v>24</v>
      </c>
      <c r="M163" s="19" t="s">
        <v>52</v>
      </c>
    </row>
    <row r="164" spans="1:13" ht="12.75">
      <c r="A164" s="16" t="s">
        <v>319</v>
      </c>
      <c r="B164" s="17">
        <v>45703</v>
      </c>
      <c r="C164" s="19" t="s">
        <v>5</v>
      </c>
      <c r="D164" s="19" t="s">
        <v>108</v>
      </c>
      <c r="E164" s="3">
        <v>2</v>
      </c>
      <c r="F164" s="5">
        <v>480</v>
      </c>
      <c r="G164" s="4">
        <v>0.05</v>
      </c>
      <c r="H164" s="5">
        <f t="shared" si="0"/>
        <v>912</v>
      </c>
      <c r="I164" s="7" t="e">
        <f ca="1">ROUND(_xludf.IFS(L164="Cancelled", 0, L164="Returned", -0.1*H164, C164="Electronics", 0.14*H164, C164="Appliances", 0.16*H164, C164="Fashion", 0.26*H164, C164="Home &amp; Kitchen", 0.22*H164, C164="Beauty &amp; Personal Care", 0.3*H164, C164="Sports &amp; Fitness", 0.2*H164, TRUE, 0.15*H164), 2)</f>
        <v>#NAME?</v>
      </c>
      <c r="J164" s="19" t="s">
        <v>60</v>
      </c>
      <c r="K164" s="19" t="s">
        <v>47</v>
      </c>
      <c r="L164" s="16" t="s">
        <v>24</v>
      </c>
      <c r="M164" s="19" t="s">
        <v>80</v>
      </c>
    </row>
    <row r="165" spans="1:13" ht="12.75">
      <c r="A165" s="16" t="s">
        <v>320</v>
      </c>
      <c r="B165" s="17">
        <v>45706</v>
      </c>
      <c r="C165" s="19" t="s">
        <v>6</v>
      </c>
      <c r="D165" s="19" t="s">
        <v>157</v>
      </c>
      <c r="E165" s="3">
        <v>1</v>
      </c>
      <c r="F165" s="5">
        <v>3199</v>
      </c>
      <c r="G165" s="4">
        <v>0.14000000000000001</v>
      </c>
      <c r="H165" s="5">
        <f t="shared" si="0"/>
        <v>2751.14</v>
      </c>
      <c r="I165" s="7" t="e">
        <f ca="1">ROUND(_xludf.IFS(L165="Cancelled", 0, L165="Returned", -0.1*H165, C165="Electronics", 0.14*H165, C165="Appliances", 0.16*H165, C165="Fashion", 0.26*H165, C165="Home &amp; Kitchen", 0.22*H165, C165="Beauty &amp; Personal Care", 0.3*H165, C165="Sports &amp; Fitness", 0.2*H165, TRUE, 0.15*H165), 2)</f>
        <v>#NAME?</v>
      </c>
      <c r="J165" s="19" t="s">
        <v>66</v>
      </c>
      <c r="K165" s="19" t="s">
        <v>47</v>
      </c>
      <c r="L165" s="16" t="s">
        <v>24</v>
      </c>
      <c r="M165" s="19" t="s">
        <v>48</v>
      </c>
    </row>
    <row r="166" spans="1:13" ht="12.75">
      <c r="A166" s="16" t="s">
        <v>321</v>
      </c>
      <c r="B166" s="17">
        <v>45708</v>
      </c>
      <c r="C166" s="19" t="s">
        <v>4</v>
      </c>
      <c r="D166" s="19" t="s">
        <v>170</v>
      </c>
      <c r="E166" s="3">
        <v>1</v>
      </c>
      <c r="F166" s="5">
        <v>899</v>
      </c>
      <c r="G166" s="4">
        <v>0.25</v>
      </c>
      <c r="H166" s="5">
        <f t="shared" si="0"/>
        <v>674.25</v>
      </c>
      <c r="I166" s="7" t="e">
        <f ca="1">ROUND(_xludf.IFS(L166="Cancelled", 0, L166="Returned", -0.1*H166, C166="Electronics", 0.14*H166, C166="Appliances", 0.16*H166, C166="Fashion", 0.26*H166, C166="Home &amp; Kitchen", 0.22*H166, C166="Beauty &amp; Personal Care", 0.3*H166, C166="Sports &amp; Fitness", 0.2*H166, TRUE, 0.15*H166), 2)</f>
        <v>#NAME?</v>
      </c>
      <c r="J166" s="19" t="s">
        <v>46</v>
      </c>
      <c r="K166" s="19" t="s">
        <v>47</v>
      </c>
      <c r="L166" s="16" t="s">
        <v>24</v>
      </c>
      <c r="M166" s="19" t="s">
        <v>57</v>
      </c>
    </row>
    <row r="167" spans="1:13" ht="12.75">
      <c r="A167" s="16" t="s">
        <v>322</v>
      </c>
      <c r="B167" s="17">
        <v>45711</v>
      </c>
      <c r="C167" s="19" t="s">
        <v>3</v>
      </c>
      <c r="D167" s="19" t="s">
        <v>161</v>
      </c>
      <c r="E167" s="3">
        <v>1</v>
      </c>
      <c r="F167" s="5">
        <v>2150</v>
      </c>
      <c r="G167" s="4">
        <v>0.12</v>
      </c>
      <c r="H167" s="5">
        <f t="shared" si="0"/>
        <v>1892</v>
      </c>
      <c r="I167" s="7" t="e">
        <f ca="1">ROUND(_xludf.IFS(L167="Cancelled", 0, L167="Returned", -0.1*H167, C167="Electronics", 0.14*H167, C167="Appliances", 0.16*H167, C167="Fashion", 0.26*H167, C167="Home &amp; Kitchen", 0.22*H167, C167="Beauty &amp; Personal Care", 0.3*H167, C167="Sports &amp; Fitness", 0.2*H167, TRUE, 0.15*H167), 2)</f>
        <v>#NAME?</v>
      </c>
      <c r="J167" s="19" t="s">
        <v>55</v>
      </c>
      <c r="K167" s="19" t="s">
        <v>47</v>
      </c>
      <c r="L167" s="16" t="s">
        <v>24</v>
      </c>
      <c r="M167" s="19" t="s">
        <v>114</v>
      </c>
    </row>
    <row r="168" spans="1:13" ht="12.75">
      <c r="A168" s="16" t="s">
        <v>323</v>
      </c>
      <c r="B168" s="17">
        <v>45713</v>
      </c>
      <c r="C168" s="19" t="s">
        <v>2</v>
      </c>
      <c r="D168" s="19" t="s">
        <v>174</v>
      </c>
      <c r="E168" s="3">
        <v>3</v>
      </c>
      <c r="F168" s="5">
        <v>260</v>
      </c>
      <c r="G168" s="4">
        <v>0.1</v>
      </c>
      <c r="H168" s="5">
        <f t="shared" si="0"/>
        <v>702</v>
      </c>
      <c r="I168" s="7" t="e">
        <f ca="1">ROUND(_xludf.IFS(L168="Cancelled", 0, L168="Returned", -0.1*H168, C168="Electronics", 0.14*H168, C168="Appliances", 0.16*H168, C168="Fashion", 0.26*H168, C168="Home &amp; Kitchen", 0.22*H168, C168="Beauty &amp; Personal Care", 0.3*H168, C168="Sports &amp; Fitness", 0.2*H168, TRUE, 0.15*H168), 2)</f>
        <v>#NAME?</v>
      </c>
      <c r="J168" s="19" t="s">
        <v>60</v>
      </c>
      <c r="K168" s="19" t="s">
        <v>47</v>
      </c>
      <c r="L168" s="16" t="s">
        <v>24</v>
      </c>
      <c r="M168" s="19" t="s">
        <v>106</v>
      </c>
    </row>
    <row r="169" spans="1:13" ht="12.75">
      <c r="A169" s="16" t="s">
        <v>324</v>
      </c>
      <c r="B169" s="17">
        <v>45716</v>
      </c>
      <c r="C169" s="19" t="s">
        <v>7</v>
      </c>
      <c r="D169" s="19" t="s">
        <v>187</v>
      </c>
      <c r="E169" s="3">
        <v>1</v>
      </c>
      <c r="F169" s="5">
        <v>14990</v>
      </c>
      <c r="G169" s="4">
        <v>0.14000000000000001</v>
      </c>
      <c r="H169" s="5">
        <f t="shared" si="0"/>
        <v>12891.4</v>
      </c>
      <c r="I169" s="7" t="e">
        <f ca="1">ROUND(_xludf.IFS(L169="Cancelled", 0, L169="Returned", -0.1*H169, C169="Electronics", 0.14*H169, C169="Appliances", 0.16*H169, C169="Fashion", 0.26*H169, C169="Home &amp; Kitchen", 0.22*H169, C169="Beauty &amp; Personal Care", 0.3*H169, C169="Sports &amp; Fitness", 0.2*H169, TRUE, 0.15*H169), 2)</f>
        <v>#NAME?</v>
      </c>
      <c r="J169" s="19" t="s">
        <v>51</v>
      </c>
      <c r="K169" s="19" t="s">
        <v>47</v>
      </c>
      <c r="L169" s="16" t="s">
        <v>24</v>
      </c>
      <c r="M169" s="19" t="s">
        <v>64</v>
      </c>
    </row>
    <row r="170" spans="1:13" ht="12.75">
      <c r="A170" s="16" t="s">
        <v>325</v>
      </c>
      <c r="B170" s="17">
        <v>45718</v>
      </c>
      <c r="C170" s="19" t="s">
        <v>5</v>
      </c>
      <c r="D170" s="19" t="s">
        <v>124</v>
      </c>
      <c r="E170" s="3">
        <v>2</v>
      </c>
      <c r="F170" s="5">
        <v>699</v>
      </c>
      <c r="G170" s="4">
        <v>0.15</v>
      </c>
      <c r="H170" s="5">
        <f t="shared" si="0"/>
        <v>1188.3</v>
      </c>
      <c r="I170" s="7" t="e">
        <f ca="1">ROUND(_xludf.IFS(L170="Cancelled", 0, L170="Returned", -0.1*H170, C170="Electronics", 0.14*H170, C170="Appliances", 0.16*H170, C170="Fashion", 0.26*H170, C170="Home &amp; Kitchen", 0.22*H170, C170="Beauty &amp; Personal Care", 0.3*H170, C170="Sports &amp; Fitness", 0.2*H170, TRUE, 0.15*H170), 2)</f>
        <v>#NAME?</v>
      </c>
      <c r="J170" s="19" t="s">
        <v>60</v>
      </c>
      <c r="K170" s="19" t="s">
        <v>56</v>
      </c>
      <c r="L170" s="16" t="s">
        <v>26</v>
      </c>
      <c r="M170" s="19" t="s">
        <v>48</v>
      </c>
    </row>
    <row r="171" spans="1:13" ht="12.75">
      <c r="A171" s="16" t="s">
        <v>326</v>
      </c>
      <c r="B171" s="17">
        <v>45721</v>
      </c>
      <c r="C171" s="19" t="s">
        <v>6</v>
      </c>
      <c r="D171" s="19" t="s">
        <v>168</v>
      </c>
      <c r="E171" s="3">
        <v>2</v>
      </c>
      <c r="F171" s="5">
        <v>1299</v>
      </c>
      <c r="G171" s="4">
        <v>0.15</v>
      </c>
      <c r="H171" s="5">
        <f t="shared" si="0"/>
        <v>2208.3000000000002</v>
      </c>
      <c r="I171" s="7" t="e">
        <f ca="1">ROUND(_xludf.IFS(L171="Cancelled", 0, L171="Returned", -0.1*H171, C171="Electronics", 0.14*H171, C171="Appliances", 0.16*H171, C171="Fashion", 0.26*H171, C171="Home &amp; Kitchen", 0.22*H171, C171="Beauty &amp; Personal Care", 0.3*H171, C171="Sports &amp; Fitness", 0.2*H171, TRUE, 0.15*H171), 2)</f>
        <v>#NAME?</v>
      </c>
      <c r="J171" s="19" t="s">
        <v>66</v>
      </c>
      <c r="K171" s="19" t="s">
        <v>47</v>
      </c>
      <c r="L171" s="16" t="s">
        <v>24</v>
      </c>
      <c r="M171" s="19" t="s">
        <v>52</v>
      </c>
    </row>
    <row r="172" spans="1:13" ht="12.75">
      <c r="A172" s="16" t="s">
        <v>327</v>
      </c>
      <c r="B172" s="17">
        <v>45723</v>
      </c>
      <c r="C172" s="19" t="s">
        <v>4</v>
      </c>
      <c r="D172" s="19" t="s">
        <v>181</v>
      </c>
      <c r="E172" s="3">
        <v>2</v>
      </c>
      <c r="F172" s="5">
        <v>999</v>
      </c>
      <c r="G172" s="4">
        <v>0.2</v>
      </c>
      <c r="H172" s="5">
        <f t="shared" si="0"/>
        <v>1598.4</v>
      </c>
      <c r="I172" s="7" t="e">
        <f ca="1">ROUND(_xludf.IFS(L172="Cancelled", 0, L172="Returned", -0.1*H172, C172="Electronics", 0.14*H172, C172="Appliances", 0.16*H172, C172="Fashion", 0.26*H172, C172="Home &amp; Kitchen", 0.22*H172, C172="Beauty &amp; Personal Care", 0.3*H172, C172="Sports &amp; Fitness", 0.2*H172, TRUE, 0.15*H172), 2)</f>
        <v>#NAME?</v>
      </c>
      <c r="J172" s="19" t="s">
        <v>46</v>
      </c>
      <c r="K172" s="19" t="s">
        <v>47</v>
      </c>
      <c r="L172" s="16" t="s">
        <v>24</v>
      </c>
      <c r="M172" s="19" t="s">
        <v>67</v>
      </c>
    </row>
    <row r="173" spans="1:13" ht="12.75">
      <c r="A173" s="16" t="s">
        <v>328</v>
      </c>
      <c r="B173" s="17">
        <v>45726</v>
      </c>
      <c r="C173" s="19" t="s">
        <v>3</v>
      </c>
      <c r="D173" s="19" t="s">
        <v>172</v>
      </c>
      <c r="E173" s="3">
        <v>1</v>
      </c>
      <c r="F173" s="5">
        <v>2199</v>
      </c>
      <c r="G173" s="4">
        <v>0.18</v>
      </c>
      <c r="H173" s="5">
        <f t="shared" si="0"/>
        <v>1803.18</v>
      </c>
      <c r="I173" s="7" t="e">
        <f ca="1">ROUND(_xludf.IFS(L173="Cancelled", 0, L173="Returned", -0.1*H173, C173="Electronics", 0.14*H173, C173="Appliances", 0.16*H173, C173="Fashion", 0.26*H173, C173="Home &amp; Kitchen", 0.22*H173, C173="Beauty &amp; Personal Care", 0.3*H173, C173="Sports &amp; Fitness", 0.2*H173, TRUE, 0.15*H173), 2)</f>
        <v>#NAME?</v>
      </c>
      <c r="J173" s="19" t="s">
        <v>55</v>
      </c>
      <c r="K173" s="19" t="s">
        <v>56</v>
      </c>
      <c r="L173" s="16" t="s">
        <v>24</v>
      </c>
      <c r="M173" s="19" t="s">
        <v>70</v>
      </c>
    </row>
    <row r="174" spans="1:13" ht="12.75">
      <c r="A174" s="16" t="s">
        <v>329</v>
      </c>
      <c r="B174" s="17">
        <v>45728</v>
      </c>
      <c r="C174" s="19" t="s">
        <v>2</v>
      </c>
      <c r="D174" s="19" t="s">
        <v>185</v>
      </c>
      <c r="E174" s="3">
        <v>1</v>
      </c>
      <c r="F174" s="5">
        <v>480</v>
      </c>
      <c r="G174" s="4">
        <v>0.05</v>
      </c>
      <c r="H174" s="5">
        <f t="shared" si="0"/>
        <v>456</v>
      </c>
      <c r="I174" s="7" t="e">
        <f ca="1">ROUND(_xludf.IFS(L174="Cancelled", 0, L174="Returned", -0.1*H174, C174="Electronics", 0.14*H174, C174="Appliances", 0.16*H174, C174="Fashion", 0.26*H174, C174="Home &amp; Kitchen", 0.22*H174, C174="Beauty &amp; Personal Care", 0.3*H174, C174="Sports &amp; Fitness", 0.2*H174, TRUE, 0.15*H174), 2)</f>
        <v>#NAME?</v>
      </c>
      <c r="J174" s="19" t="s">
        <v>46</v>
      </c>
      <c r="K174" s="19" t="s">
        <v>47</v>
      </c>
      <c r="L174" s="16" t="s">
        <v>24</v>
      </c>
      <c r="M174" s="19" t="s">
        <v>73</v>
      </c>
    </row>
    <row r="175" spans="1:13" ht="12.75">
      <c r="A175" s="16" t="s">
        <v>330</v>
      </c>
      <c r="B175" s="17">
        <v>45731</v>
      </c>
      <c r="C175" s="19" t="s">
        <v>7</v>
      </c>
      <c r="D175" s="19" t="s">
        <v>198</v>
      </c>
      <c r="E175" s="3">
        <v>1</v>
      </c>
      <c r="F175" s="5">
        <v>3299</v>
      </c>
      <c r="G175" s="4">
        <v>0.15</v>
      </c>
      <c r="H175" s="5">
        <f t="shared" si="0"/>
        <v>2804.15</v>
      </c>
      <c r="I175" s="7" t="e">
        <f ca="1">ROUND(_xludf.IFS(L175="Cancelled", 0, L175="Returned", -0.1*H175, C175="Electronics", 0.14*H175, C175="Appliances", 0.16*H175, C175="Fashion", 0.26*H175, C175="Home &amp; Kitchen", 0.22*H175, C175="Beauty &amp; Personal Care", 0.3*H175, C175="Sports &amp; Fitness", 0.2*H175, TRUE, 0.15*H175), 2)</f>
        <v>#NAME?</v>
      </c>
      <c r="J175" s="19" t="s">
        <v>51</v>
      </c>
      <c r="K175" s="19" t="s">
        <v>47</v>
      </c>
      <c r="L175" s="16" t="s">
        <v>24</v>
      </c>
      <c r="M175" s="19" t="s">
        <v>64</v>
      </c>
    </row>
    <row r="176" spans="1:13" ht="12.75">
      <c r="A176" s="16" t="s">
        <v>331</v>
      </c>
      <c r="B176" s="17">
        <v>45733</v>
      </c>
      <c r="C176" s="19" t="s">
        <v>5</v>
      </c>
      <c r="D176" s="19" t="s">
        <v>138</v>
      </c>
      <c r="E176" s="3">
        <v>2</v>
      </c>
      <c r="F176" s="5">
        <v>599</v>
      </c>
      <c r="G176" s="4">
        <v>0.1</v>
      </c>
      <c r="H176" s="5">
        <f t="shared" si="0"/>
        <v>1078.2</v>
      </c>
      <c r="I176" s="7" t="e">
        <f ca="1">ROUND(_xludf.IFS(L176="Cancelled", 0, L176="Returned", -0.1*H176, C176="Electronics", 0.14*H176, C176="Appliances", 0.16*H176, C176="Fashion", 0.26*H176, C176="Home &amp; Kitchen", 0.22*H176, C176="Beauty &amp; Personal Care", 0.3*H176, C176="Sports &amp; Fitness", 0.2*H176, TRUE, 0.15*H176), 2)</f>
        <v>#NAME?</v>
      </c>
      <c r="J176" s="19" t="s">
        <v>46</v>
      </c>
      <c r="K176" s="19" t="s">
        <v>47</v>
      </c>
      <c r="L176" s="16" t="s">
        <v>24</v>
      </c>
      <c r="M176" s="19" t="s">
        <v>57</v>
      </c>
    </row>
    <row r="177" spans="1:13" ht="12.75">
      <c r="A177" s="16" t="s">
        <v>332</v>
      </c>
      <c r="B177" s="17">
        <v>45736</v>
      </c>
      <c r="C177" s="19" t="s">
        <v>6</v>
      </c>
      <c r="D177" s="19" t="s">
        <v>179</v>
      </c>
      <c r="E177" s="3">
        <v>1</v>
      </c>
      <c r="F177" s="5">
        <v>15499</v>
      </c>
      <c r="G177" s="4">
        <v>0.1</v>
      </c>
      <c r="H177" s="5">
        <f t="shared" si="0"/>
        <v>13949.1</v>
      </c>
      <c r="I177" s="7" t="e">
        <f ca="1">ROUND(_xludf.IFS(L177="Cancelled", 0, L177="Returned", -0.1*H177, C177="Electronics", 0.14*H177, C177="Appliances", 0.16*H177, C177="Fashion", 0.26*H177, C177="Home &amp; Kitchen", 0.22*H177, C177="Beauty &amp; Personal Care", 0.3*H177, C177="Sports &amp; Fitness", 0.2*H177, TRUE, 0.15*H177), 2)</f>
        <v>#NAME?</v>
      </c>
      <c r="J177" s="19" t="s">
        <v>51</v>
      </c>
      <c r="K177" s="19" t="s">
        <v>47</v>
      </c>
      <c r="L177" s="16" t="s">
        <v>24</v>
      </c>
      <c r="M177" s="19" t="s">
        <v>48</v>
      </c>
    </row>
    <row r="178" spans="1:13" ht="12.75">
      <c r="A178" s="16" t="s">
        <v>333</v>
      </c>
      <c r="B178" s="17">
        <v>45738</v>
      </c>
      <c r="C178" s="19" t="s">
        <v>4</v>
      </c>
      <c r="D178" s="19" t="s">
        <v>30</v>
      </c>
      <c r="E178" s="3">
        <v>1</v>
      </c>
      <c r="F178" s="5">
        <v>1595</v>
      </c>
      <c r="G178" s="4">
        <v>0.15</v>
      </c>
      <c r="H178" s="5">
        <f t="shared" si="0"/>
        <v>1355.75</v>
      </c>
      <c r="I178" s="7" t="e">
        <f ca="1">ROUND(_xludf.IFS(L178="Cancelled", 0, L178="Returned", -0.1*H178, C178="Electronics", 0.14*H178, C178="Appliances", 0.16*H178, C178="Fashion", 0.26*H178, C178="Home &amp; Kitchen", 0.22*H178, C178="Beauty &amp; Personal Care", 0.3*H178, C178="Sports &amp; Fitness", 0.2*H178, TRUE, 0.15*H178), 2)</f>
        <v>#NAME?</v>
      </c>
      <c r="J178" s="19" t="s">
        <v>51</v>
      </c>
      <c r="K178" s="19" t="s">
        <v>56</v>
      </c>
      <c r="L178" s="16" t="s">
        <v>23</v>
      </c>
      <c r="M178" s="19" t="s">
        <v>52</v>
      </c>
    </row>
    <row r="179" spans="1:13" ht="12.75">
      <c r="A179" s="16" t="s">
        <v>334</v>
      </c>
      <c r="B179" s="17">
        <v>45741</v>
      </c>
      <c r="C179" s="19" t="s">
        <v>3</v>
      </c>
      <c r="D179" s="19" t="s">
        <v>183</v>
      </c>
      <c r="E179" s="3">
        <v>3</v>
      </c>
      <c r="F179" s="5">
        <v>299</v>
      </c>
      <c r="G179" s="4">
        <v>0.15</v>
      </c>
      <c r="H179" s="5">
        <f t="shared" si="0"/>
        <v>762.45</v>
      </c>
      <c r="I179" s="7" t="e">
        <f ca="1">ROUND(_xludf.IFS(L179="Cancelled", 0, L179="Returned", -0.1*H179, C179="Electronics", 0.14*H179, C179="Appliances", 0.16*H179, C179="Fashion", 0.26*H179, C179="Home &amp; Kitchen", 0.22*H179, C179="Beauty &amp; Personal Care", 0.3*H179, C179="Sports &amp; Fitness", 0.2*H179, TRUE, 0.15*H179), 2)</f>
        <v>#NAME?</v>
      </c>
      <c r="J179" s="19" t="s">
        <v>60</v>
      </c>
      <c r="K179" s="19" t="s">
        <v>47</v>
      </c>
      <c r="L179" s="16" t="s">
        <v>24</v>
      </c>
      <c r="M179" s="19" t="s">
        <v>61</v>
      </c>
    </row>
    <row r="180" spans="1:13" ht="12.75">
      <c r="A180" s="16" t="s">
        <v>335</v>
      </c>
      <c r="B180" s="17">
        <v>45743</v>
      </c>
      <c r="C180" s="19" t="s">
        <v>2</v>
      </c>
      <c r="D180" s="19" t="s">
        <v>196</v>
      </c>
      <c r="E180" s="3">
        <v>2</v>
      </c>
      <c r="F180" s="5">
        <v>599</v>
      </c>
      <c r="G180" s="4">
        <v>0.1</v>
      </c>
      <c r="H180" s="5">
        <f t="shared" si="0"/>
        <v>1078.2</v>
      </c>
      <c r="I180" s="7" t="e">
        <f ca="1">ROUND(_xludf.IFS(L180="Cancelled", 0, L180="Returned", -0.1*H180, C180="Electronics", 0.14*H180, C180="Appliances", 0.16*H180, C180="Fashion", 0.26*H180, C180="Home &amp; Kitchen", 0.22*H180, C180="Beauty &amp; Personal Care", 0.3*H180, C180="Sports &amp; Fitness", 0.2*H180, TRUE, 0.15*H180), 2)</f>
        <v>#NAME?</v>
      </c>
      <c r="J180" s="19" t="s">
        <v>46</v>
      </c>
      <c r="K180" s="19" t="s">
        <v>47</v>
      </c>
      <c r="L180" s="16" t="s">
        <v>24</v>
      </c>
      <c r="M180" s="19" t="s">
        <v>76</v>
      </c>
    </row>
    <row r="181" spans="1:13" ht="12.75">
      <c r="A181" s="16" t="s">
        <v>336</v>
      </c>
      <c r="B181" s="17">
        <v>45746</v>
      </c>
      <c r="C181" s="19" t="s">
        <v>7</v>
      </c>
      <c r="D181" s="19" t="s">
        <v>209</v>
      </c>
      <c r="E181" s="3">
        <v>1</v>
      </c>
      <c r="F181" s="5">
        <v>5699</v>
      </c>
      <c r="G181" s="4">
        <v>0.18</v>
      </c>
      <c r="H181" s="5">
        <f t="shared" si="0"/>
        <v>4673.18</v>
      </c>
      <c r="I181" s="7" t="e">
        <f ca="1">ROUND(_xludf.IFS(L181="Cancelled", 0, L181="Returned", -0.1*H181, C181="Electronics", 0.14*H181, C181="Appliances", 0.16*H181, C181="Fashion", 0.26*H181, C181="Home &amp; Kitchen", 0.22*H181, C181="Beauty &amp; Personal Care", 0.3*H181, C181="Sports &amp; Fitness", 0.2*H181, TRUE, 0.15*H181), 2)</f>
        <v>#NAME?</v>
      </c>
      <c r="J181" s="19" t="s">
        <v>55</v>
      </c>
      <c r="K181" s="19" t="s">
        <v>47</v>
      </c>
      <c r="L181" s="16" t="s">
        <v>24</v>
      </c>
      <c r="M181" s="19" t="s">
        <v>67</v>
      </c>
    </row>
    <row r="182" spans="1:13" ht="12.75">
      <c r="A182" s="16" t="s">
        <v>337</v>
      </c>
      <c r="B182" s="17">
        <v>45748</v>
      </c>
      <c r="C182" s="19" t="s">
        <v>5</v>
      </c>
      <c r="D182" s="19" t="s">
        <v>166</v>
      </c>
      <c r="E182" s="3">
        <v>4</v>
      </c>
      <c r="F182" s="5">
        <v>399</v>
      </c>
      <c r="G182" s="4">
        <v>0.05</v>
      </c>
      <c r="H182" s="5">
        <f t="shared" si="0"/>
        <v>1516.2</v>
      </c>
      <c r="I182" s="7" t="e">
        <f ca="1">ROUND(_xludf.IFS(L182="Cancelled", 0, L182="Returned", -0.1*H182, C182="Electronics", 0.14*H182, C182="Appliances", 0.16*H182, C182="Fashion", 0.26*H182, C182="Home &amp; Kitchen", 0.22*H182, C182="Beauty &amp; Personal Care", 0.3*H182, C182="Sports &amp; Fitness", 0.2*H182, TRUE, 0.15*H182), 2)</f>
        <v>#NAME?</v>
      </c>
      <c r="J182" s="19" t="s">
        <v>60</v>
      </c>
      <c r="K182" s="19" t="s">
        <v>56</v>
      </c>
      <c r="L182" s="16" t="s">
        <v>24</v>
      </c>
      <c r="M182" s="19" t="s">
        <v>109</v>
      </c>
    </row>
    <row r="183" spans="1:13" ht="12.75">
      <c r="A183" s="16" t="s">
        <v>338</v>
      </c>
      <c r="B183" s="17">
        <v>45751</v>
      </c>
      <c r="C183" s="19" t="s">
        <v>6</v>
      </c>
      <c r="D183" s="19" t="s">
        <v>191</v>
      </c>
      <c r="E183" s="3">
        <v>2</v>
      </c>
      <c r="F183" s="5">
        <v>1199</v>
      </c>
      <c r="G183" s="4">
        <v>0.18</v>
      </c>
      <c r="H183" s="5">
        <f t="shared" si="0"/>
        <v>1966.36</v>
      </c>
      <c r="I183" s="7" t="e">
        <f ca="1">ROUND(_xludf.IFS(L183="Cancelled", 0, L183="Returned", -0.1*H183, C183="Electronics", 0.14*H183, C183="Appliances", 0.16*H183, C183="Fashion", 0.26*H183, C183="Home &amp; Kitchen", 0.22*H183, C183="Beauty &amp; Personal Care", 0.3*H183, C183="Sports &amp; Fitness", 0.2*H183, TRUE, 0.15*H183), 2)</f>
        <v>#NAME?</v>
      </c>
      <c r="J183" s="19" t="s">
        <v>46</v>
      </c>
      <c r="K183" s="19" t="s">
        <v>47</v>
      </c>
      <c r="L183" s="16" t="s">
        <v>26</v>
      </c>
      <c r="M183" s="19" t="s">
        <v>48</v>
      </c>
    </row>
    <row r="184" spans="1:13" ht="12.75">
      <c r="A184" s="16" t="s">
        <v>339</v>
      </c>
      <c r="B184" s="17">
        <v>45753</v>
      </c>
      <c r="C184" s="19" t="s">
        <v>4</v>
      </c>
      <c r="D184" s="19" t="s">
        <v>203</v>
      </c>
      <c r="E184" s="3">
        <v>1</v>
      </c>
      <c r="F184" s="5">
        <v>1399</v>
      </c>
      <c r="G184" s="4">
        <v>0.25</v>
      </c>
      <c r="H184" s="5">
        <f t="shared" si="0"/>
        <v>1049.25</v>
      </c>
      <c r="I184" s="7" t="e">
        <f ca="1">ROUND(_xludf.IFS(L184="Cancelled", 0, L184="Returned", -0.1*H184, C184="Electronics", 0.14*H184, C184="Appliances", 0.16*H184, C184="Fashion", 0.26*H184, C184="Home &amp; Kitchen", 0.22*H184, C184="Beauty &amp; Personal Care", 0.3*H184, C184="Sports &amp; Fitness", 0.2*H184, TRUE, 0.15*H184), 2)</f>
        <v>#NAME?</v>
      </c>
      <c r="J184" s="19" t="s">
        <v>66</v>
      </c>
      <c r="K184" s="19" t="s">
        <v>47</v>
      </c>
      <c r="L184" s="16" t="s">
        <v>24</v>
      </c>
      <c r="M184" s="19" t="s">
        <v>64</v>
      </c>
    </row>
    <row r="185" spans="1:13" ht="12.75">
      <c r="A185" s="16" t="s">
        <v>340</v>
      </c>
      <c r="B185" s="17">
        <v>45756</v>
      </c>
      <c r="C185" s="19" t="s">
        <v>3</v>
      </c>
      <c r="D185" s="19" t="s">
        <v>194</v>
      </c>
      <c r="E185" s="3">
        <v>1</v>
      </c>
      <c r="F185" s="5">
        <v>3199</v>
      </c>
      <c r="G185" s="4">
        <v>0.12</v>
      </c>
      <c r="H185" s="5">
        <f t="shared" si="0"/>
        <v>2815.12</v>
      </c>
      <c r="I185" s="7" t="e">
        <f ca="1">ROUND(_xludf.IFS(L185="Cancelled", 0, L185="Returned", -0.1*H185, C185="Electronics", 0.14*H185, C185="Appliances", 0.16*H185, C185="Fashion", 0.26*H185, C185="Home &amp; Kitchen", 0.22*H185, C185="Beauty &amp; Personal Care", 0.3*H185, C185="Sports &amp; Fitness", 0.2*H185, TRUE, 0.15*H185), 2)</f>
        <v>#NAME?</v>
      </c>
      <c r="J185" s="19" t="s">
        <v>46</v>
      </c>
      <c r="K185" s="19" t="s">
        <v>47</v>
      </c>
      <c r="L185" s="16" t="s">
        <v>24</v>
      </c>
      <c r="M185" s="19" t="s">
        <v>70</v>
      </c>
    </row>
    <row r="186" spans="1:13" ht="12.75">
      <c r="A186" s="16" t="s">
        <v>341</v>
      </c>
      <c r="B186" s="17">
        <v>45758</v>
      </c>
      <c r="C186" s="19" t="s">
        <v>2</v>
      </c>
      <c r="D186" s="19" t="s">
        <v>207</v>
      </c>
      <c r="E186" s="3">
        <v>2</v>
      </c>
      <c r="F186" s="5">
        <v>349</v>
      </c>
      <c r="G186" s="4">
        <v>0.12</v>
      </c>
      <c r="H186" s="5">
        <f t="shared" si="0"/>
        <v>614.24</v>
      </c>
      <c r="I186" s="7" t="e">
        <f ca="1">ROUND(_xludf.IFS(L186="Cancelled", 0, L186="Returned", -0.1*H186, C186="Electronics", 0.14*H186, C186="Appliances", 0.16*H186, C186="Fashion", 0.26*H186, C186="Home &amp; Kitchen", 0.22*H186, C186="Beauty &amp; Personal Care", 0.3*H186, C186="Sports &amp; Fitness", 0.2*H186, TRUE, 0.15*H186), 2)</f>
        <v>#NAME?</v>
      </c>
      <c r="J186" s="19" t="s">
        <v>60</v>
      </c>
      <c r="K186" s="19" t="s">
        <v>56</v>
      </c>
      <c r="L186" s="16" t="s">
        <v>24</v>
      </c>
      <c r="M186" s="19" t="s">
        <v>80</v>
      </c>
    </row>
    <row r="187" spans="1:13" ht="12.75">
      <c r="A187" s="16" t="s">
        <v>342</v>
      </c>
      <c r="B187" s="17">
        <v>45761</v>
      </c>
      <c r="C187" s="19" t="s">
        <v>7</v>
      </c>
      <c r="D187" s="19" t="s">
        <v>221</v>
      </c>
      <c r="E187" s="3">
        <v>2</v>
      </c>
      <c r="F187" s="5">
        <v>1499</v>
      </c>
      <c r="G187" s="4">
        <v>0.12</v>
      </c>
      <c r="H187" s="5">
        <f t="shared" si="0"/>
        <v>2638.24</v>
      </c>
      <c r="I187" s="7" t="e">
        <f ca="1">ROUND(_xludf.IFS(L187="Cancelled", 0, L187="Returned", -0.1*H187, C187="Electronics", 0.14*H187, C187="Appliances", 0.16*H187, C187="Fashion", 0.26*H187, C187="Home &amp; Kitchen", 0.22*H187, C187="Beauty &amp; Personal Care", 0.3*H187, C187="Sports &amp; Fitness", 0.2*H187, TRUE, 0.15*H187), 2)</f>
        <v>#NAME?</v>
      </c>
      <c r="J187" s="19" t="s">
        <v>51</v>
      </c>
      <c r="K187" s="19" t="s">
        <v>47</v>
      </c>
      <c r="L187" s="16" t="s">
        <v>24</v>
      </c>
      <c r="M187" s="19" t="s">
        <v>52</v>
      </c>
    </row>
    <row r="188" spans="1:13" ht="12.75">
      <c r="A188" s="16" t="s">
        <v>343</v>
      </c>
      <c r="B188" s="17">
        <v>45763</v>
      </c>
      <c r="C188" s="19" t="s">
        <v>5</v>
      </c>
      <c r="D188" s="19" t="s">
        <v>177</v>
      </c>
      <c r="E188" s="3">
        <v>2</v>
      </c>
      <c r="F188" s="5">
        <v>299</v>
      </c>
      <c r="G188" s="4">
        <v>0.1</v>
      </c>
      <c r="H188" s="5">
        <f t="shared" si="0"/>
        <v>538.20000000000005</v>
      </c>
      <c r="I188" s="7" t="e">
        <f ca="1">ROUND(_xludf.IFS(L188="Cancelled", 0, L188="Returned", -0.1*H188, C188="Electronics", 0.14*H188, C188="Appliances", 0.16*H188, C188="Fashion", 0.26*H188, C188="Home &amp; Kitchen", 0.22*H188, C188="Beauty &amp; Personal Care", 0.3*H188, C188="Sports &amp; Fitness", 0.2*H188, TRUE, 0.15*H188), 2)</f>
        <v>#NAME?</v>
      </c>
      <c r="J188" s="19" t="s">
        <v>46</v>
      </c>
      <c r="K188" s="19" t="s">
        <v>56</v>
      </c>
      <c r="L188" s="16" t="s">
        <v>24</v>
      </c>
      <c r="M188" s="19" t="s">
        <v>57</v>
      </c>
    </row>
    <row r="189" spans="1:13" ht="12.75">
      <c r="A189" s="16" t="s">
        <v>344</v>
      </c>
      <c r="B189" s="17">
        <v>45766</v>
      </c>
      <c r="C189" s="19" t="s">
        <v>6</v>
      </c>
      <c r="D189" s="19" t="s">
        <v>13</v>
      </c>
      <c r="E189" s="3">
        <v>1</v>
      </c>
      <c r="F189" s="5">
        <v>37990</v>
      </c>
      <c r="G189" s="4">
        <v>0.08</v>
      </c>
      <c r="H189" s="5">
        <f t="shared" si="0"/>
        <v>34950.800000000003</v>
      </c>
      <c r="I189" s="7" t="e">
        <f ca="1">ROUND(_xludf.IFS(L189="Cancelled", 0, L189="Returned", -0.1*H189, C189="Electronics", 0.14*H189, C189="Appliances", 0.16*H189, C189="Fashion", 0.26*H189, C189="Home &amp; Kitchen", 0.22*H189, C189="Beauty &amp; Personal Care", 0.3*H189, C189="Sports &amp; Fitness", 0.2*H189, TRUE, 0.15*H189), 2)</f>
        <v>#NAME?</v>
      </c>
      <c r="J189" s="19" t="s">
        <v>51</v>
      </c>
      <c r="K189" s="19" t="s">
        <v>47</v>
      </c>
      <c r="L189" s="16" t="s">
        <v>24</v>
      </c>
      <c r="M189" s="19" t="s">
        <v>48</v>
      </c>
    </row>
    <row r="190" spans="1:13" ht="12.75">
      <c r="A190" s="16" t="s">
        <v>345</v>
      </c>
      <c r="B190" s="17">
        <v>45768</v>
      </c>
      <c r="C190" s="19" t="s">
        <v>4</v>
      </c>
      <c r="D190" s="19" t="s">
        <v>215</v>
      </c>
      <c r="E190" s="3">
        <v>1</v>
      </c>
      <c r="F190" s="5">
        <v>1049</v>
      </c>
      <c r="G190" s="4">
        <v>0.3</v>
      </c>
      <c r="H190" s="5">
        <f t="shared" si="0"/>
        <v>734.3</v>
      </c>
      <c r="I190" s="7" t="e">
        <f ca="1">ROUND(_xludf.IFS(L190="Cancelled", 0, L190="Returned", -0.1*H190, C190="Electronics", 0.14*H190, C190="Appliances", 0.16*H190, C190="Fashion", 0.26*H190, C190="Home &amp; Kitchen", 0.22*H190, C190="Beauty &amp; Personal Care", 0.3*H190, C190="Sports &amp; Fitness", 0.2*H190, TRUE, 0.15*H190), 2)</f>
        <v>#NAME?</v>
      </c>
      <c r="J190" s="19" t="s">
        <v>60</v>
      </c>
      <c r="K190" s="19" t="s">
        <v>47</v>
      </c>
      <c r="L190" s="16" t="s">
        <v>24</v>
      </c>
      <c r="M190" s="19" t="s">
        <v>73</v>
      </c>
    </row>
    <row r="191" spans="1:13" ht="12.75">
      <c r="A191" s="16" t="s">
        <v>346</v>
      </c>
      <c r="B191" s="17">
        <v>45771</v>
      </c>
      <c r="C191" s="19" t="s">
        <v>3</v>
      </c>
      <c r="D191" s="19" t="s">
        <v>205</v>
      </c>
      <c r="E191" s="3">
        <v>1</v>
      </c>
      <c r="F191" s="5">
        <v>1699</v>
      </c>
      <c r="G191" s="4">
        <v>0.15</v>
      </c>
      <c r="H191" s="5">
        <f t="shared" si="0"/>
        <v>1444.15</v>
      </c>
      <c r="I191" s="7" t="e">
        <f ca="1">ROUND(_xludf.IFS(L191="Cancelled", 0, L191="Returned", -0.1*H191, C191="Electronics", 0.14*H191, C191="Appliances", 0.16*H191, C191="Fashion", 0.26*H191, C191="Home &amp; Kitchen", 0.22*H191, C191="Beauty &amp; Personal Care", 0.3*H191, C191="Sports &amp; Fitness", 0.2*H191, TRUE, 0.15*H191), 2)</f>
        <v>#NAME?</v>
      </c>
      <c r="J191" s="19" t="s">
        <v>46</v>
      </c>
      <c r="K191" s="19" t="s">
        <v>47</v>
      </c>
      <c r="L191" s="16" t="s">
        <v>24</v>
      </c>
      <c r="M191" s="19" t="s">
        <v>64</v>
      </c>
    </row>
    <row r="192" spans="1:13" ht="12.75">
      <c r="A192" s="16" t="s">
        <v>347</v>
      </c>
      <c r="B192" s="17">
        <v>45773</v>
      </c>
      <c r="C192" s="19" t="s">
        <v>2</v>
      </c>
      <c r="D192" s="19" t="s">
        <v>219</v>
      </c>
      <c r="E192" s="3">
        <v>2</v>
      </c>
      <c r="F192" s="5">
        <v>549</v>
      </c>
      <c r="G192" s="4">
        <v>0.15</v>
      </c>
      <c r="H192" s="5">
        <f t="shared" si="0"/>
        <v>933.3</v>
      </c>
      <c r="I192" s="7" t="e">
        <f ca="1">ROUND(_xludf.IFS(L192="Cancelled", 0, L192="Returned", -0.1*H192, C192="Electronics", 0.14*H192, C192="Appliances", 0.16*H192, C192="Fashion", 0.26*H192, C192="Home &amp; Kitchen", 0.22*H192, C192="Beauty &amp; Personal Care", 0.3*H192, C192="Sports &amp; Fitness", 0.2*H192, TRUE, 0.15*H192), 2)</f>
        <v>#NAME?</v>
      </c>
      <c r="J192" s="19" t="s">
        <v>46</v>
      </c>
      <c r="K192" s="19" t="s">
        <v>47</v>
      </c>
      <c r="L192" s="16" t="s">
        <v>24</v>
      </c>
      <c r="M192" s="19" t="s">
        <v>48</v>
      </c>
    </row>
    <row r="193" spans="1:13" ht="12.75">
      <c r="A193" s="16" t="s">
        <v>348</v>
      </c>
      <c r="B193" s="17">
        <v>45776</v>
      </c>
      <c r="C193" s="19" t="s">
        <v>7</v>
      </c>
      <c r="D193" s="19" t="s">
        <v>232</v>
      </c>
      <c r="E193" s="3">
        <v>1</v>
      </c>
      <c r="F193" s="5">
        <v>13999</v>
      </c>
      <c r="G193" s="4">
        <v>0.14000000000000001</v>
      </c>
      <c r="H193" s="5">
        <f t="shared" si="0"/>
        <v>12039.14</v>
      </c>
      <c r="I193" s="7" t="e">
        <f ca="1">ROUND(_xludf.IFS(L193="Cancelled", 0, L193="Returned", -0.1*H193, C193="Electronics", 0.14*H193, C193="Appliances", 0.16*H193, C193="Fashion", 0.26*H193, C193="Home &amp; Kitchen", 0.22*H193, C193="Beauty &amp; Personal Care", 0.3*H193, C193="Sports &amp; Fitness", 0.2*H193, TRUE, 0.15*H193), 2)</f>
        <v>#NAME?</v>
      </c>
      <c r="J193" s="19" t="s">
        <v>51</v>
      </c>
      <c r="K193" s="19" t="s">
        <v>47</v>
      </c>
      <c r="L193" s="16" t="s">
        <v>24</v>
      </c>
      <c r="M193" s="19" t="s">
        <v>52</v>
      </c>
    </row>
    <row r="194" spans="1:13" ht="12.75">
      <c r="A194" s="16" t="s">
        <v>349</v>
      </c>
      <c r="B194" s="17">
        <v>45778</v>
      </c>
      <c r="C194" s="19" t="s">
        <v>5</v>
      </c>
      <c r="D194" s="19" t="s">
        <v>200</v>
      </c>
      <c r="E194" s="3">
        <v>1</v>
      </c>
      <c r="F194" s="5">
        <v>6499</v>
      </c>
      <c r="G194" s="4">
        <v>0.22</v>
      </c>
      <c r="H194" s="5">
        <f t="shared" si="0"/>
        <v>5069.22</v>
      </c>
      <c r="I194" s="7" t="e">
        <f ca="1">ROUND(_xludf.IFS(L194="Cancelled", 0, L194="Returned", -0.1*H194, C194="Electronics", 0.14*H194, C194="Appliances", 0.16*H194, C194="Fashion", 0.26*H194, C194="Home &amp; Kitchen", 0.22*H194, C194="Beauty &amp; Personal Care", 0.3*H194, C194="Sports &amp; Fitness", 0.2*H194, TRUE, 0.15*H194), 2)</f>
        <v>#NAME?</v>
      </c>
      <c r="J194" s="19" t="s">
        <v>79</v>
      </c>
      <c r="K194" s="19" t="s">
        <v>56</v>
      </c>
      <c r="L194" s="16" t="s">
        <v>24</v>
      </c>
      <c r="M194" s="19" t="s">
        <v>57</v>
      </c>
    </row>
    <row r="195" spans="1:13" ht="12.75">
      <c r="A195" s="16" t="s">
        <v>350</v>
      </c>
      <c r="B195" s="17">
        <v>45781</v>
      </c>
      <c r="C195" s="19" t="s">
        <v>6</v>
      </c>
      <c r="D195" s="19" t="s">
        <v>213</v>
      </c>
      <c r="E195" s="3">
        <v>3</v>
      </c>
      <c r="F195" s="5">
        <v>399</v>
      </c>
      <c r="G195" s="4">
        <v>0.1</v>
      </c>
      <c r="H195" s="5">
        <f t="shared" si="0"/>
        <v>1077.3</v>
      </c>
      <c r="I195" s="7" t="e">
        <f ca="1">ROUND(_xludf.IFS(L195="Cancelled", 0, L195="Returned", -0.1*H195, C195="Electronics", 0.14*H195, C195="Appliances", 0.16*H195, C195="Fashion", 0.26*H195, C195="Home &amp; Kitchen", 0.22*H195, C195="Beauty &amp; Personal Care", 0.3*H195, C195="Sports &amp; Fitness", 0.2*H195, TRUE, 0.15*H195), 2)</f>
        <v>#NAME?</v>
      </c>
      <c r="J195" s="19" t="s">
        <v>66</v>
      </c>
      <c r="K195" s="19" t="s">
        <v>47</v>
      </c>
      <c r="L195" s="16" t="s">
        <v>24</v>
      </c>
      <c r="M195" s="19" t="s">
        <v>67</v>
      </c>
    </row>
    <row r="196" spans="1:13" ht="12.75">
      <c r="A196" s="16" t="s">
        <v>351</v>
      </c>
      <c r="B196" s="17">
        <v>45783</v>
      </c>
      <c r="C196" s="19" t="s">
        <v>4</v>
      </c>
      <c r="D196" s="19" t="s">
        <v>33</v>
      </c>
      <c r="E196" s="3">
        <v>2</v>
      </c>
      <c r="F196" s="5">
        <v>1149</v>
      </c>
      <c r="G196" s="4">
        <v>0.2</v>
      </c>
      <c r="H196" s="5">
        <f t="shared" si="0"/>
        <v>1838.4</v>
      </c>
      <c r="I196" s="7" t="e">
        <f ca="1">ROUND(_xludf.IFS(L196="Cancelled", 0, L196="Returned", -0.1*H196, C196="Electronics", 0.14*H196, C196="Appliances", 0.16*H196, C196="Fashion", 0.26*H196, C196="Home &amp; Kitchen", 0.22*H196, C196="Beauty &amp; Personal Care", 0.3*H196, C196="Sports &amp; Fitness", 0.2*H196, TRUE, 0.15*H196), 2)</f>
        <v>#NAME?</v>
      </c>
      <c r="J196" s="19" t="s">
        <v>51</v>
      </c>
      <c r="K196" s="19" t="s">
        <v>56</v>
      </c>
      <c r="L196" s="16" t="s">
        <v>23</v>
      </c>
      <c r="M196" s="19" t="s">
        <v>64</v>
      </c>
    </row>
    <row r="197" spans="1:13" ht="12.75">
      <c r="A197" s="16" t="s">
        <v>352</v>
      </c>
      <c r="B197" s="17">
        <v>45786</v>
      </c>
      <c r="C197" s="19" t="s">
        <v>3</v>
      </c>
      <c r="D197" s="19" t="s">
        <v>217</v>
      </c>
      <c r="E197" s="3">
        <v>2</v>
      </c>
      <c r="F197" s="5">
        <v>849</v>
      </c>
      <c r="G197" s="4">
        <v>0.1</v>
      </c>
      <c r="H197" s="5">
        <f t="shared" si="0"/>
        <v>1528.2</v>
      </c>
      <c r="I197" s="7" t="e">
        <f ca="1">ROUND(_xludf.IFS(L197="Cancelled", 0, L197="Returned", -0.1*H197, C197="Electronics", 0.14*H197, C197="Appliances", 0.16*H197, C197="Fashion", 0.26*H197, C197="Home &amp; Kitchen", 0.22*H197, C197="Beauty &amp; Personal Care", 0.3*H197, C197="Sports &amp; Fitness", 0.2*H197, TRUE, 0.15*H197), 2)</f>
        <v>#NAME?</v>
      </c>
      <c r="J197" s="19" t="s">
        <v>55</v>
      </c>
      <c r="K197" s="19" t="s">
        <v>47</v>
      </c>
      <c r="L197" s="16" t="s">
        <v>24</v>
      </c>
      <c r="M197" s="19" t="s">
        <v>61</v>
      </c>
    </row>
    <row r="198" spans="1:13" ht="12.75">
      <c r="A198" s="16" t="s">
        <v>353</v>
      </c>
      <c r="B198" s="17">
        <v>45788</v>
      </c>
      <c r="C198" s="19" t="s">
        <v>2</v>
      </c>
      <c r="D198" s="19" t="s">
        <v>230</v>
      </c>
      <c r="E198" s="3">
        <v>3</v>
      </c>
      <c r="F198" s="5">
        <v>299</v>
      </c>
      <c r="G198" s="4">
        <v>0.05</v>
      </c>
      <c r="H198" s="5">
        <f t="shared" si="0"/>
        <v>852.15</v>
      </c>
      <c r="I198" s="7" t="e">
        <f ca="1">ROUND(_xludf.IFS(L198="Cancelled", 0, L198="Returned", -0.1*H198, C198="Electronics", 0.14*H198, C198="Appliances", 0.16*H198, C198="Fashion", 0.26*H198, C198="Home &amp; Kitchen", 0.22*H198, C198="Beauty &amp; Personal Care", 0.3*H198, C198="Sports &amp; Fitness", 0.2*H198, TRUE, 0.15*H198), 2)</f>
        <v>#NAME?</v>
      </c>
      <c r="J198" s="19" t="s">
        <v>60</v>
      </c>
      <c r="K198" s="19" t="s">
        <v>47</v>
      </c>
      <c r="L198" s="16" t="s">
        <v>24</v>
      </c>
      <c r="M198" s="19" t="s">
        <v>70</v>
      </c>
    </row>
    <row r="199" spans="1:13" ht="12.75">
      <c r="A199" s="16" t="s">
        <v>354</v>
      </c>
      <c r="B199" s="17">
        <v>45791</v>
      </c>
      <c r="C199" s="19" t="s">
        <v>7</v>
      </c>
      <c r="D199" s="19" t="s">
        <v>12</v>
      </c>
      <c r="E199" s="3">
        <v>1</v>
      </c>
      <c r="F199" s="5">
        <v>31990</v>
      </c>
      <c r="G199" s="4">
        <v>0.16</v>
      </c>
      <c r="H199" s="5">
        <f t="shared" si="0"/>
        <v>26871.599999999999</v>
      </c>
      <c r="I199" s="7" t="e">
        <f ca="1">ROUND(_xludf.IFS(L199="Cancelled", 0, L199="Returned", -0.1*H199, C199="Electronics", 0.14*H199, C199="Appliances", 0.16*H199, C199="Fashion", 0.26*H199, C199="Home &amp; Kitchen", 0.22*H199, C199="Beauty &amp; Personal Care", 0.3*H199, C199="Sports &amp; Fitness", 0.2*H199, TRUE, 0.15*H199), 2)</f>
        <v>#NAME?</v>
      </c>
      <c r="J199" s="19" t="s">
        <v>51</v>
      </c>
      <c r="K199" s="19" t="s">
        <v>47</v>
      </c>
      <c r="L199" s="16" t="s">
        <v>24</v>
      </c>
      <c r="M199" s="19" t="s">
        <v>48</v>
      </c>
    </row>
    <row r="200" spans="1:13" ht="12.75">
      <c r="A200" s="16" t="s">
        <v>355</v>
      </c>
      <c r="B200" s="17">
        <v>45793</v>
      </c>
      <c r="C200" s="19" t="s">
        <v>5</v>
      </c>
      <c r="D200" s="19" t="s">
        <v>211</v>
      </c>
      <c r="E200" s="3">
        <v>2</v>
      </c>
      <c r="F200" s="5">
        <v>1299</v>
      </c>
      <c r="G200" s="4">
        <v>0.15</v>
      </c>
      <c r="H200" s="5">
        <f t="shared" si="0"/>
        <v>2208.3000000000002</v>
      </c>
      <c r="I200" s="7" t="e">
        <f ca="1">ROUND(_xludf.IFS(L200="Cancelled", 0, L200="Returned", -0.1*H200, C200="Electronics", 0.14*H200, C200="Appliances", 0.16*H200, C200="Fashion", 0.26*H200, C200="Home &amp; Kitchen", 0.22*H200, C200="Beauty &amp; Personal Care", 0.3*H200, C200="Sports &amp; Fitness", 0.2*H200, TRUE, 0.15*H200), 2)</f>
        <v>#NAME?</v>
      </c>
      <c r="J200" s="19" t="s">
        <v>46</v>
      </c>
      <c r="K200" s="19" t="s">
        <v>56</v>
      </c>
      <c r="L200" s="16" t="s">
        <v>24</v>
      </c>
      <c r="M200" s="19" t="s">
        <v>73</v>
      </c>
    </row>
    <row r="201" spans="1:13" ht="12.75">
      <c r="A201" s="16" t="s">
        <v>356</v>
      </c>
      <c r="B201" s="17">
        <v>45796</v>
      </c>
      <c r="C201" s="19" t="s">
        <v>6</v>
      </c>
      <c r="D201" s="19" t="s">
        <v>225</v>
      </c>
      <c r="E201" s="3">
        <v>1</v>
      </c>
      <c r="F201" s="5">
        <v>1699</v>
      </c>
      <c r="G201" s="4">
        <v>0.12</v>
      </c>
      <c r="H201" s="5">
        <f t="shared" si="0"/>
        <v>1495.12</v>
      </c>
      <c r="I201" s="7" t="e">
        <f ca="1">ROUND(_xludf.IFS(L201="Cancelled", 0, L201="Returned", -0.1*H201, C201="Electronics", 0.14*H201, C201="Appliances", 0.16*H201, C201="Fashion", 0.26*H201, C201="Home &amp; Kitchen", 0.22*H201, C201="Beauty &amp; Personal Care", 0.3*H201, C201="Sports &amp; Fitness", 0.2*H201, TRUE, 0.15*H201), 2)</f>
        <v>#NAME?</v>
      </c>
      <c r="J201" s="19" t="s">
        <v>66</v>
      </c>
      <c r="K201" s="19" t="s">
        <v>47</v>
      </c>
      <c r="L201" s="16" t="s">
        <v>24</v>
      </c>
      <c r="M201" s="19" t="s">
        <v>52</v>
      </c>
    </row>
    <row r="202" spans="1:13" ht="12.75">
      <c r="A202" s="16" t="s">
        <v>357</v>
      </c>
      <c r="B202" s="17">
        <v>45798</v>
      </c>
      <c r="C202" s="19" t="s">
        <v>4</v>
      </c>
      <c r="D202" s="19" t="s">
        <v>238</v>
      </c>
      <c r="E202" s="3">
        <v>1</v>
      </c>
      <c r="F202" s="5">
        <v>1499</v>
      </c>
      <c r="G202" s="4">
        <v>0.25</v>
      </c>
      <c r="H202" s="5">
        <f t="shared" si="0"/>
        <v>1124.25</v>
      </c>
      <c r="I202" s="7" t="e">
        <f ca="1">ROUND(_xludf.IFS(L202="Cancelled", 0, L202="Returned", -0.1*H202, C202="Electronics", 0.14*H202, C202="Appliances", 0.16*H202, C202="Fashion", 0.26*H202, C202="Home &amp; Kitchen", 0.22*H202, C202="Beauty &amp; Personal Care", 0.3*H202, C202="Sports &amp; Fitness", 0.2*H202, TRUE, 0.15*H202), 2)</f>
        <v>#NAME?</v>
      </c>
      <c r="J202" s="19" t="s">
        <v>51</v>
      </c>
      <c r="K202" s="19" t="s">
        <v>47</v>
      </c>
      <c r="L202" s="16" t="s">
        <v>24</v>
      </c>
      <c r="M202" s="19" t="s">
        <v>76</v>
      </c>
    </row>
    <row r="203" spans="1:13" ht="12.75">
      <c r="A203" s="16" t="s">
        <v>358</v>
      </c>
      <c r="B203" s="17">
        <v>45801</v>
      </c>
      <c r="C203" s="19" t="s">
        <v>3</v>
      </c>
      <c r="D203" s="19" t="s">
        <v>228</v>
      </c>
      <c r="E203" s="3">
        <v>1</v>
      </c>
      <c r="F203" s="5">
        <v>1695</v>
      </c>
      <c r="G203" s="4">
        <v>0.15</v>
      </c>
      <c r="H203" s="5">
        <f t="shared" si="0"/>
        <v>1440.75</v>
      </c>
      <c r="I203" s="7" t="e">
        <f ca="1">ROUND(_xludf.IFS(L203="Cancelled", 0, L203="Returned", -0.1*H203, C203="Electronics", 0.14*H203, C203="Appliances", 0.16*H203, C203="Fashion", 0.26*H203, C203="Home &amp; Kitchen", 0.22*H203, C203="Beauty &amp; Personal Care", 0.3*H203, C203="Sports &amp; Fitness", 0.2*H203, TRUE, 0.15*H203), 2)</f>
        <v>#NAME?</v>
      </c>
      <c r="J203" s="19" t="s">
        <v>55</v>
      </c>
      <c r="K203" s="19" t="s">
        <v>47</v>
      </c>
      <c r="L203" s="16" t="s">
        <v>24</v>
      </c>
      <c r="M203" s="19" t="s">
        <v>64</v>
      </c>
    </row>
    <row r="204" spans="1:13" ht="12.75">
      <c r="A204" s="16" t="s">
        <v>359</v>
      </c>
      <c r="B204" s="17">
        <v>45803</v>
      </c>
      <c r="C204" s="19" t="s">
        <v>2</v>
      </c>
      <c r="D204" s="19" t="s">
        <v>242</v>
      </c>
      <c r="E204" s="3">
        <v>1</v>
      </c>
      <c r="F204" s="5">
        <v>899</v>
      </c>
      <c r="G204" s="4">
        <v>0.1</v>
      </c>
      <c r="H204" s="5">
        <f t="shared" si="0"/>
        <v>809.1</v>
      </c>
      <c r="I204" s="7" t="e">
        <f ca="1">ROUND(_xludf.IFS(L204="Cancelled", 0, L204="Returned", -0.1*H204, C204="Electronics", 0.14*H204, C204="Appliances", 0.16*H204, C204="Fashion", 0.26*H204, C204="Home &amp; Kitchen", 0.22*H204, C204="Beauty &amp; Personal Care", 0.3*H204, C204="Sports &amp; Fitness", 0.2*H204, TRUE, 0.15*H204), 2)</f>
        <v>#NAME?</v>
      </c>
      <c r="J204" s="19" t="s">
        <v>46</v>
      </c>
      <c r="K204" s="19" t="s">
        <v>47</v>
      </c>
      <c r="L204" s="16" t="s">
        <v>24</v>
      </c>
      <c r="M204" s="19" t="s">
        <v>57</v>
      </c>
    </row>
    <row r="205" spans="1:13" ht="12.75">
      <c r="A205" s="16" t="s">
        <v>360</v>
      </c>
      <c r="B205" s="17">
        <v>45806</v>
      </c>
      <c r="C205" s="19" t="s">
        <v>7</v>
      </c>
      <c r="D205" s="19" t="s">
        <v>29</v>
      </c>
      <c r="E205" s="3">
        <v>1</v>
      </c>
      <c r="F205" s="5">
        <v>7490</v>
      </c>
      <c r="G205" s="4">
        <v>0.2</v>
      </c>
      <c r="H205" s="5">
        <f t="shared" si="0"/>
        <v>5992</v>
      </c>
      <c r="I205" s="7" t="e">
        <f ca="1">ROUND(_xludf.IFS(L205="Cancelled", 0, L205="Returned", -0.1*H205, C205="Electronics", 0.14*H205, C205="Appliances", 0.16*H205, C205="Fashion", 0.26*H205, C205="Home &amp; Kitchen", 0.22*H205, C205="Beauty &amp; Personal Care", 0.3*H205, C205="Sports &amp; Fitness", 0.2*H205, TRUE, 0.15*H205), 2)</f>
        <v>#NAME?</v>
      </c>
      <c r="J205" s="19" t="s">
        <v>55</v>
      </c>
      <c r="K205" s="19" t="s">
        <v>56</v>
      </c>
      <c r="L205" s="16" t="s">
        <v>24</v>
      </c>
      <c r="M205" s="19" t="s">
        <v>48</v>
      </c>
    </row>
    <row r="206" spans="1:13" ht="12.75">
      <c r="A206" s="16" t="s">
        <v>361</v>
      </c>
      <c r="B206" s="17">
        <v>45808</v>
      </c>
      <c r="C206" s="19" t="s">
        <v>5</v>
      </c>
      <c r="D206" s="19" t="s">
        <v>223</v>
      </c>
      <c r="E206" s="3">
        <v>1</v>
      </c>
      <c r="F206" s="5">
        <v>999</v>
      </c>
      <c r="G206" s="4">
        <v>0.1</v>
      </c>
      <c r="H206" s="5">
        <f t="shared" si="0"/>
        <v>899.1</v>
      </c>
      <c r="I206" s="7" t="e">
        <f ca="1">ROUND(_xludf.IFS(L206="Cancelled", 0, L206="Returned", -0.1*H206, C206="Electronics", 0.14*H206, C206="Appliances", 0.16*H206, C206="Fashion", 0.26*H206, C206="Home &amp; Kitchen", 0.22*H206, C206="Beauty &amp; Personal Care", 0.3*H206, C206="Sports &amp; Fitness", 0.2*H206, TRUE, 0.15*H206), 2)</f>
        <v>#NAME?</v>
      </c>
      <c r="J206" s="19" t="s">
        <v>46</v>
      </c>
      <c r="K206" s="19" t="s">
        <v>56</v>
      </c>
      <c r="L206" s="16" t="s">
        <v>24</v>
      </c>
      <c r="M206" s="19" t="s">
        <v>109</v>
      </c>
    </row>
    <row r="207" spans="1:13" ht="12.75">
      <c r="A207" s="16" t="s">
        <v>362</v>
      </c>
      <c r="B207" s="17">
        <v>45811</v>
      </c>
      <c r="C207" s="19" t="s">
        <v>6</v>
      </c>
      <c r="D207" s="19" t="s">
        <v>236</v>
      </c>
      <c r="E207" s="3">
        <v>1</v>
      </c>
      <c r="F207" s="5">
        <v>4499</v>
      </c>
      <c r="G207" s="4">
        <v>0.15</v>
      </c>
      <c r="H207" s="5">
        <f t="shared" si="0"/>
        <v>3824.15</v>
      </c>
      <c r="I207" s="7" t="e">
        <f ca="1">ROUND(_xludf.IFS(L207="Cancelled", 0, L207="Returned", -0.1*H207, C207="Electronics", 0.14*H207, C207="Appliances", 0.16*H207, C207="Fashion", 0.26*H207, C207="Home &amp; Kitchen", 0.22*H207, C207="Beauty &amp; Personal Care", 0.3*H207, C207="Sports &amp; Fitness", 0.2*H207, TRUE, 0.15*H207), 2)</f>
        <v>#NAME?</v>
      </c>
      <c r="J207" s="19" t="s">
        <v>66</v>
      </c>
      <c r="K207" s="19" t="s">
        <v>47</v>
      </c>
      <c r="L207" s="16" t="s">
        <v>24</v>
      </c>
      <c r="M207" s="19" t="s">
        <v>67</v>
      </c>
    </row>
    <row r="208" spans="1:13" ht="12.75">
      <c r="A208" s="16" t="s">
        <v>363</v>
      </c>
      <c r="B208" s="17">
        <v>45813</v>
      </c>
      <c r="C208" s="19" t="s">
        <v>4</v>
      </c>
      <c r="D208" s="19" t="s">
        <v>248</v>
      </c>
      <c r="E208" s="3">
        <v>1</v>
      </c>
      <c r="F208" s="5">
        <v>2290</v>
      </c>
      <c r="G208" s="4">
        <v>0.2</v>
      </c>
      <c r="H208" s="5">
        <f t="shared" si="0"/>
        <v>1832</v>
      </c>
      <c r="I208" s="7" t="e">
        <f ca="1">ROUND(_xludf.IFS(L208="Cancelled", 0, L208="Returned", -0.1*H208, C208="Electronics", 0.14*H208, C208="Appliances", 0.16*H208, C208="Fashion", 0.26*H208, C208="Home &amp; Kitchen", 0.22*H208, C208="Beauty &amp; Personal Care", 0.3*H208, C208="Sports &amp; Fitness", 0.2*H208, TRUE, 0.15*H208), 2)</f>
        <v>#NAME?</v>
      </c>
      <c r="J208" s="19" t="s">
        <v>51</v>
      </c>
      <c r="K208" s="19" t="s">
        <v>47</v>
      </c>
      <c r="L208" s="16" t="s">
        <v>24</v>
      </c>
      <c r="M208" s="19" t="s">
        <v>52</v>
      </c>
    </row>
    <row r="209" spans="1:13" ht="12.75">
      <c r="A209" s="16" t="s">
        <v>364</v>
      </c>
      <c r="B209" s="17">
        <v>45816</v>
      </c>
      <c r="C209" s="19" t="s">
        <v>3</v>
      </c>
      <c r="D209" s="19" t="s">
        <v>240</v>
      </c>
      <c r="E209" s="3">
        <v>2</v>
      </c>
      <c r="F209" s="5">
        <v>799</v>
      </c>
      <c r="G209" s="4">
        <v>0.12</v>
      </c>
      <c r="H209" s="5">
        <f t="shared" si="0"/>
        <v>1406.24</v>
      </c>
      <c r="I209" s="7" t="e">
        <f ca="1">ROUND(_xludf.IFS(L209="Cancelled", 0, L209="Returned", -0.1*H209, C209="Electronics", 0.14*H209, C209="Appliances", 0.16*H209, C209="Fashion", 0.26*H209, C209="Home &amp; Kitchen", 0.22*H209, C209="Beauty &amp; Personal Care", 0.3*H209, C209="Sports &amp; Fitness", 0.2*H209, TRUE, 0.15*H209), 2)</f>
        <v>#NAME?</v>
      </c>
      <c r="J209" s="19" t="s">
        <v>46</v>
      </c>
      <c r="K209" s="19" t="s">
        <v>47</v>
      </c>
      <c r="L209" s="16" t="s">
        <v>24</v>
      </c>
      <c r="M209" s="19" t="s">
        <v>64</v>
      </c>
    </row>
    <row r="210" spans="1:13" ht="12.75">
      <c r="A210" s="16" t="s">
        <v>365</v>
      </c>
      <c r="B210" s="17">
        <v>45818</v>
      </c>
      <c r="C210" s="19" t="s">
        <v>2</v>
      </c>
      <c r="D210" s="19" t="s">
        <v>252</v>
      </c>
      <c r="E210" s="3">
        <v>4</v>
      </c>
      <c r="F210" s="5">
        <v>199</v>
      </c>
      <c r="G210" s="4">
        <v>0.05</v>
      </c>
      <c r="H210" s="5">
        <f t="shared" si="0"/>
        <v>756.2</v>
      </c>
      <c r="I210" s="7" t="e">
        <f ca="1">ROUND(_xludf.IFS(L210="Cancelled", 0, L210="Returned", -0.1*H210, C210="Electronics", 0.14*H210, C210="Appliances", 0.16*H210, C210="Fashion", 0.26*H210, C210="Home &amp; Kitchen", 0.22*H210, C210="Beauty &amp; Personal Care", 0.3*H210, C210="Sports &amp; Fitness", 0.2*H210, TRUE, 0.15*H210), 2)</f>
        <v>#NAME?</v>
      </c>
      <c r="J210" s="19" t="s">
        <v>60</v>
      </c>
      <c r="K210" s="19" t="s">
        <v>47</v>
      </c>
      <c r="L210" s="16" t="s">
        <v>24</v>
      </c>
      <c r="M210" s="19" t="s">
        <v>61</v>
      </c>
    </row>
    <row r="211" spans="1:13" ht="12.75">
      <c r="A211" s="16" t="s">
        <v>366</v>
      </c>
      <c r="B211" s="17">
        <v>45821</v>
      </c>
      <c r="C211" s="19" t="s">
        <v>7</v>
      </c>
      <c r="D211" s="19" t="s">
        <v>263</v>
      </c>
      <c r="E211" s="3">
        <v>1</v>
      </c>
      <c r="F211" s="5">
        <v>3895</v>
      </c>
      <c r="G211" s="4">
        <v>0.18</v>
      </c>
      <c r="H211" s="5">
        <f t="shared" si="0"/>
        <v>3193.9</v>
      </c>
      <c r="I211" s="7" t="e">
        <f ca="1">ROUND(_xludf.IFS(L211="Cancelled", 0, L211="Returned", -0.1*H211, C211="Electronics", 0.14*H211, C211="Appliances", 0.16*H211, C211="Fashion", 0.26*H211, C211="Home &amp; Kitchen", 0.22*H211, C211="Beauty &amp; Personal Care", 0.3*H211, C211="Sports &amp; Fitness", 0.2*H211, TRUE, 0.15*H211), 2)</f>
        <v>#NAME?</v>
      </c>
      <c r="J211" s="19" t="s">
        <v>51</v>
      </c>
      <c r="K211" s="19" t="s">
        <v>47</v>
      </c>
      <c r="L211" s="16" t="s">
        <v>24</v>
      </c>
      <c r="M211" s="19" t="s">
        <v>48</v>
      </c>
    </row>
    <row r="212" spans="1:13" ht="12.75">
      <c r="A212" s="16" t="s">
        <v>367</v>
      </c>
      <c r="B212" s="17">
        <v>45823</v>
      </c>
      <c r="C212" s="19" t="s">
        <v>5</v>
      </c>
      <c r="D212" s="19" t="s">
        <v>234</v>
      </c>
      <c r="E212" s="3">
        <v>3</v>
      </c>
      <c r="F212" s="5">
        <v>950</v>
      </c>
      <c r="G212" s="4">
        <v>0.08</v>
      </c>
      <c r="H212" s="5">
        <f t="shared" si="0"/>
        <v>2622</v>
      </c>
      <c r="I212" s="7" t="e">
        <f ca="1">ROUND(_xludf.IFS(L212="Cancelled", 0, L212="Returned", -0.1*H212, C212="Electronics", 0.14*H212, C212="Appliances", 0.16*H212, C212="Fashion", 0.26*H212, C212="Home &amp; Kitchen", 0.22*H212, C212="Beauty &amp; Personal Care", 0.3*H212, C212="Sports &amp; Fitness", 0.2*H212, TRUE, 0.15*H212), 2)</f>
        <v>#NAME?</v>
      </c>
      <c r="J212" s="19" t="s">
        <v>46</v>
      </c>
      <c r="K212" s="19" t="s">
        <v>56</v>
      </c>
      <c r="L212" s="16" t="s">
        <v>24</v>
      </c>
      <c r="M212" s="19" t="s">
        <v>70</v>
      </c>
    </row>
    <row r="213" spans="1:13" ht="12.75">
      <c r="A213" s="16" t="s">
        <v>368</v>
      </c>
      <c r="B213" s="17">
        <v>45826</v>
      </c>
      <c r="C213" s="19" t="s">
        <v>6</v>
      </c>
      <c r="D213" s="19" t="s">
        <v>45</v>
      </c>
      <c r="E213" s="3">
        <v>2</v>
      </c>
      <c r="F213" s="5">
        <v>1499</v>
      </c>
      <c r="G213" s="4">
        <v>0.1</v>
      </c>
      <c r="H213" s="5">
        <f t="shared" si="0"/>
        <v>2698.2</v>
      </c>
      <c r="I213" s="7" t="e">
        <f ca="1">ROUND(_xludf.IFS(L213="Cancelled", 0, L213="Returned", -0.1*H213, C213="Electronics", 0.14*H213, C213="Appliances", 0.16*H213, C213="Fashion", 0.26*H213, C213="Home &amp; Kitchen", 0.22*H213, C213="Beauty &amp; Personal Care", 0.3*H213, C213="Sports &amp; Fitness", 0.2*H213, TRUE, 0.15*H213), 2)</f>
        <v>#NAME?</v>
      </c>
      <c r="J213" s="19" t="s">
        <v>46</v>
      </c>
      <c r="K213" s="19" t="s">
        <v>47</v>
      </c>
      <c r="L213" s="16" t="s">
        <v>24</v>
      </c>
      <c r="M213" s="19" t="s">
        <v>57</v>
      </c>
    </row>
    <row r="214" spans="1:13" ht="12.75">
      <c r="A214" s="16" t="s">
        <v>369</v>
      </c>
      <c r="B214" s="17">
        <v>45828</v>
      </c>
      <c r="C214" s="19" t="s">
        <v>4</v>
      </c>
      <c r="D214" s="19" t="s">
        <v>258</v>
      </c>
      <c r="E214" s="3">
        <v>2</v>
      </c>
      <c r="F214" s="5">
        <v>1099</v>
      </c>
      <c r="G214" s="4">
        <v>0.22</v>
      </c>
      <c r="H214" s="5">
        <f t="shared" si="0"/>
        <v>1714.44</v>
      </c>
      <c r="I214" s="7" t="e">
        <f ca="1">ROUND(_xludf.IFS(L214="Cancelled", 0, L214="Returned", -0.1*H214, C214="Electronics", 0.14*H214, C214="Appliances", 0.16*H214, C214="Fashion", 0.26*H214, C214="Home &amp; Kitchen", 0.22*H214, C214="Beauty &amp; Personal Care", 0.3*H214, C214="Sports &amp; Fitness", 0.2*H214, TRUE, 0.15*H214), 2)</f>
        <v>#NAME?</v>
      </c>
      <c r="J214" s="19" t="s">
        <v>51</v>
      </c>
      <c r="K214" s="19" t="s">
        <v>47</v>
      </c>
      <c r="L214" s="16" t="s">
        <v>24</v>
      </c>
      <c r="M214" s="19" t="s">
        <v>52</v>
      </c>
    </row>
    <row r="215" spans="1:13" ht="12.75">
      <c r="A215" s="16" t="s">
        <v>370</v>
      </c>
      <c r="B215" s="17">
        <v>45831</v>
      </c>
      <c r="C215" s="19" t="s">
        <v>3</v>
      </c>
      <c r="D215" s="19" t="s">
        <v>250</v>
      </c>
      <c r="E215" s="3">
        <v>1</v>
      </c>
      <c r="F215" s="5">
        <v>899</v>
      </c>
      <c r="G215" s="4">
        <v>0.15</v>
      </c>
      <c r="H215" s="5">
        <f t="shared" si="0"/>
        <v>764.15</v>
      </c>
      <c r="I215" s="7" t="e">
        <f ca="1">ROUND(_xludf.IFS(L215="Cancelled", 0, L215="Returned", -0.1*H215, C215="Electronics", 0.14*H215, C215="Appliances", 0.16*H215, C215="Fashion", 0.26*H215, C215="Home &amp; Kitchen", 0.22*H215, C215="Beauty &amp; Personal Care", 0.3*H215, C215="Sports &amp; Fitness", 0.2*H215, TRUE, 0.15*H215), 2)</f>
        <v>#NAME?</v>
      </c>
      <c r="J215" s="19" t="s">
        <v>66</v>
      </c>
      <c r="K215" s="19" t="s">
        <v>47</v>
      </c>
      <c r="L215" s="16" t="s">
        <v>24</v>
      </c>
      <c r="M215" s="19" t="s">
        <v>73</v>
      </c>
    </row>
    <row r="216" spans="1:13" ht="12.75">
      <c r="A216" s="16" t="s">
        <v>371</v>
      </c>
      <c r="B216" s="17">
        <v>45833</v>
      </c>
      <c r="C216" s="19" t="s">
        <v>2</v>
      </c>
      <c r="D216" s="19" t="s">
        <v>261</v>
      </c>
      <c r="E216" s="3">
        <v>2</v>
      </c>
      <c r="F216" s="5">
        <v>499</v>
      </c>
      <c r="G216" s="4">
        <v>0.12</v>
      </c>
      <c r="H216" s="5">
        <f t="shared" si="0"/>
        <v>878.24</v>
      </c>
      <c r="I216" s="7" t="e">
        <f ca="1">ROUND(_xludf.IFS(L216="Cancelled", 0, L216="Returned", -0.1*H216, C216="Electronics", 0.14*H216, C216="Appliances", 0.16*H216, C216="Fashion", 0.26*H216, C216="Home &amp; Kitchen", 0.22*H216, C216="Beauty &amp; Personal Care", 0.3*H216, C216="Sports &amp; Fitness", 0.2*H216, TRUE, 0.15*H216), 2)</f>
        <v>#NAME?</v>
      </c>
      <c r="J216" s="19" t="s">
        <v>60</v>
      </c>
      <c r="K216" s="19" t="s">
        <v>47</v>
      </c>
      <c r="L216" s="16" t="s">
        <v>24</v>
      </c>
      <c r="M216" s="19" t="s">
        <v>106</v>
      </c>
    </row>
    <row r="217" spans="1:13" ht="12.75">
      <c r="A217" s="16" t="s">
        <v>372</v>
      </c>
      <c r="B217" s="17">
        <v>45836</v>
      </c>
      <c r="C217" s="19" t="s">
        <v>7</v>
      </c>
      <c r="D217" s="19" t="s">
        <v>63</v>
      </c>
      <c r="E217" s="3">
        <v>1</v>
      </c>
      <c r="F217" s="5">
        <v>7999</v>
      </c>
      <c r="G217" s="4">
        <v>0.22</v>
      </c>
      <c r="H217" s="5">
        <f t="shared" si="0"/>
        <v>6239.22</v>
      </c>
      <c r="I217" s="7" t="e">
        <f ca="1">ROUND(_xludf.IFS(L217="Cancelled", 0, L217="Returned", -0.1*H217, C217="Electronics", 0.14*H217, C217="Appliances", 0.16*H217, C217="Fashion", 0.26*H217, C217="Home &amp; Kitchen", 0.22*H217, C217="Beauty &amp; Personal Care", 0.3*H217, C217="Sports &amp; Fitness", 0.2*H217, TRUE, 0.15*H217), 2)</f>
        <v>#NAME?</v>
      </c>
      <c r="J217" s="19" t="s">
        <v>55</v>
      </c>
      <c r="K217" s="19" t="s">
        <v>47</v>
      </c>
      <c r="L217" s="16" t="s">
        <v>24</v>
      </c>
      <c r="M217" s="19" t="s">
        <v>64</v>
      </c>
    </row>
    <row r="218" spans="1:13" ht="12.75">
      <c r="A218" s="16" t="s">
        <v>373</v>
      </c>
      <c r="B218" s="17">
        <v>45838</v>
      </c>
      <c r="C218" s="19" t="s">
        <v>5</v>
      </c>
      <c r="D218" s="19" t="s">
        <v>245</v>
      </c>
      <c r="E218" s="3">
        <v>3</v>
      </c>
      <c r="F218" s="5">
        <v>249</v>
      </c>
      <c r="G218" s="4">
        <v>0.05</v>
      </c>
      <c r="H218" s="5">
        <f t="shared" si="0"/>
        <v>709.65</v>
      </c>
      <c r="I218" s="7" t="e">
        <f ca="1">ROUND(_xludf.IFS(L218="Cancelled", 0, L218="Returned", -0.1*H218, C218="Electronics", 0.14*H218, C218="Appliances", 0.16*H218, C218="Fashion", 0.26*H218, C218="Home &amp; Kitchen", 0.22*H218, C218="Beauty &amp; Personal Care", 0.3*H218, C218="Sports &amp; Fitness", 0.2*H218, TRUE, 0.15*H218), 2)</f>
        <v>#NAME?</v>
      </c>
      <c r="J218" s="19" t="s">
        <v>46</v>
      </c>
      <c r="K218" s="19" t="s">
        <v>56</v>
      </c>
      <c r="L218" s="16" t="s">
        <v>24</v>
      </c>
      <c r="M218" s="19" t="s">
        <v>90</v>
      </c>
    </row>
    <row r="219" spans="1:13" ht="12.75">
      <c r="A219" s="16" t="s">
        <v>374</v>
      </c>
      <c r="B219" s="17">
        <v>45840</v>
      </c>
      <c r="C219" s="19" t="s">
        <v>6</v>
      </c>
      <c r="D219" s="19" t="s">
        <v>17</v>
      </c>
      <c r="E219" s="3">
        <v>1</v>
      </c>
      <c r="F219" s="5">
        <v>19999</v>
      </c>
      <c r="G219" s="4">
        <v>0.08</v>
      </c>
      <c r="H219" s="5">
        <f t="shared" si="0"/>
        <v>18399.080000000002</v>
      </c>
      <c r="I219" s="7" t="e">
        <f ca="1">ROUND(_xludf.IFS(L219="Cancelled", 0, L219="Returned", -0.1*H219, C219="Electronics", 0.14*H219, C219="Appliances", 0.16*H219, C219="Fashion", 0.26*H219, C219="Home &amp; Kitchen", 0.22*H219, C219="Beauty &amp; Personal Care", 0.3*H219, C219="Sports &amp; Fitness", 0.2*H219, TRUE, 0.15*H219), 2)</f>
        <v>#NAME?</v>
      </c>
      <c r="J219" s="19" t="s">
        <v>51</v>
      </c>
      <c r="K219" s="19" t="s">
        <v>47</v>
      </c>
      <c r="L219" s="16" t="s">
        <v>24</v>
      </c>
      <c r="M219" s="19" t="s">
        <v>48</v>
      </c>
    </row>
    <row r="220" spans="1:13" ht="12.75">
      <c r="A220" s="16" t="s">
        <v>375</v>
      </c>
      <c r="B220" s="17">
        <v>45843</v>
      </c>
      <c r="C220" s="19" t="s">
        <v>4</v>
      </c>
      <c r="D220" s="19" t="s">
        <v>50</v>
      </c>
      <c r="E220" s="3">
        <v>1</v>
      </c>
      <c r="F220" s="5">
        <v>2499</v>
      </c>
      <c r="G220" s="4">
        <v>0.2</v>
      </c>
      <c r="H220" s="5">
        <f t="shared" si="0"/>
        <v>1999.2</v>
      </c>
      <c r="I220" s="7" t="e">
        <f ca="1">ROUND(_xludf.IFS(L220="Cancelled", 0, L220="Returned", -0.1*H220, C220="Electronics", 0.14*H220, C220="Appliances", 0.16*H220, C220="Fashion", 0.26*H220, C220="Home &amp; Kitchen", 0.22*H220, C220="Beauty &amp; Personal Care", 0.3*H220, C220="Sports &amp; Fitness", 0.2*H220, TRUE, 0.15*H220), 2)</f>
        <v>#NAME?</v>
      </c>
      <c r="J220" s="19" t="s">
        <v>46</v>
      </c>
      <c r="K220" s="19" t="s">
        <v>47</v>
      </c>
      <c r="L220" s="16" t="s">
        <v>24</v>
      </c>
      <c r="M220" s="19" t="s">
        <v>67</v>
      </c>
    </row>
    <row r="221" spans="1:13" ht="12.75">
      <c r="A221" s="16" t="s">
        <v>376</v>
      </c>
      <c r="B221" s="17">
        <v>45845</v>
      </c>
      <c r="C221" s="19" t="s">
        <v>3</v>
      </c>
      <c r="D221" s="19" t="s">
        <v>54</v>
      </c>
      <c r="E221" s="3">
        <v>1</v>
      </c>
      <c r="F221" s="5">
        <v>3299</v>
      </c>
      <c r="G221" s="4">
        <v>0.15</v>
      </c>
      <c r="H221" s="5">
        <f t="shared" si="0"/>
        <v>2804.15</v>
      </c>
      <c r="I221" s="7" t="e">
        <f ca="1">ROUND(_xludf.IFS(L221="Cancelled", 0, L221="Returned", -0.1*H221, C221="Electronics", 0.14*H221, C221="Appliances", 0.16*H221, C221="Fashion", 0.26*H221, C221="Home &amp; Kitchen", 0.22*H221, C221="Beauty &amp; Personal Care", 0.3*H221, C221="Sports &amp; Fitness", 0.2*H221, TRUE, 0.15*H221), 2)</f>
        <v>#NAME?</v>
      </c>
      <c r="J221" s="19" t="s">
        <v>55</v>
      </c>
      <c r="K221" s="19" t="s">
        <v>47</v>
      </c>
      <c r="L221" s="16" t="s">
        <v>24</v>
      </c>
      <c r="M221" s="19" t="s">
        <v>52</v>
      </c>
    </row>
    <row r="222" spans="1:13" ht="12.75">
      <c r="A222" s="16" t="s">
        <v>377</v>
      </c>
      <c r="B222" s="17">
        <v>45848</v>
      </c>
      <c r="C222" s="19" t="s">
        <v>2</v>
      </c>
      <c r="D222" s="19" t="s">
        <v>59</v>
      </c>
      <c r="E222" s="3">
        <v>3</v>
      </c>
      <c r="F222" s="5">
        <v>399</v>
      </c>
      <c r="G222" s="4">
        <v>0.05</v>
      </c>
      <c r="H222" s="5">
        <f t="shared" si="0"/>
        <v>1137.1500000000001</v>
      </c>
      <c r="I222" s="7" t="e">
        <f ca="1">ROUND(_xludf.IFS(L222="Cancelled", 0, L222="Returned", -0.1*H222, C222="Electronics", 0.14*H222, C222="Appliances", 0.16*H222, C222="Fashion", 0.26*H222, C222="Home &amp; Kitchen", 0.22*H222, C222="Beauty &amp; Personal Care", 0.3*H222, C222="Sports &amp; Fitness", 0.2*H222, TRUE, 0.15*H222), 2)</f>
        <v>#NAME?</v>
      </c>
      <c r="J222" s="19" t="s">
        <v>60</v>
      </c>
      <c r="K222" s="19" t="s">
        <v>47</v>
      </c>
      <c r="L222" s="16" t="s">
        <v>24</v>
      </c>
      <c r="M222" s="19" t="s">
        <v>57</v>
      </c>
    </row>
    <row r="223" spans="1:13" ht="12.75">
      <c r="A223" s="16" t="s">
        <v>378</v>
      </c>
      <c r="B223" s="17">
        <v>45850</v>
      </c>
      <c r="C223" s="19" t="s">
        <v>7</v>
      </c>
      <c r="D223" s="19" t="s">
        <v>84</v>
      </c>
      <c r="E223" s="3">
        <v>1</v>
      </c>
      <c r="F223" s="5">
        <v>2899</v>
      </c>
      <c r="G223" s="4">
        <v>0.18</v>
      </c>
      <c r="H223" s="5">
        <f t="shared" si="0"/>
        <v>2377.1799999999998</v>
      </c>
      <c r="I223" s="7" t="e">
        <f ca="1">ROUND(_xludf.IFS(L223="Cancelled", 0, L223="Returned", -0.1*H223, C223="Electronics", 0.14*H223, C223="Appliances", 0.16*H223, C223="Fashion", 0.26*H223, C223="Home &amp; Kitchen", 0.22*H223, C223="Beauty &amp; Personal Care", 0.3*H223, C223="Sports &amp; Fitness", 0.2*H223, TRUE, 0.15*H223), 2)</f>
        <v>#NAME?</v>
      </c>
      <c r="J223" s="19" t="s">
        <v>46</v>
      </c>
      <c r="K223" s="19" t="s">
        <v>47</v>
      </c>
      <c r="L223" s="16" t="s">
        <v>24</v>
      </c>
      <c r="M223" s="19" t="s">
        <v>76</v>
      </c>
    </row>
    <row r="224" spans="1:13" ht="12.75">
      <c r="A224" s="16" t="s">
        <v>379</v>
      </c>
      <c r="B224" s="17">
        <v>45853</v>
      </c>
      <c r="C224" s="19" t="s">
        <v>5</v>
      </c>
      <c r="D224" s="19" t="s">
        <v>255</v>
      </c>
      <c r="E224" s="3">
        <v>2</v>
      </c>
      <c r="F224" s="5">
        <v>349</v>
      </c>
      <c r="G224" s="4">
        <v>0.1</v>
      </c>
      <c r="H224" s="5">
        <f t="shared" si="0"/>
        <v>628.20000000000005</v>
      </c>
      <c r="I224" s="7" t="e">
        <f ca="1">ROUND(_xludf.IFS(L224="Cancelled", 0, L224="Returned", -0.1*H224, C224="Electronics", 0.14*H224, C224="Appliances", 0.16*H224, C224="Fashion", 0.26*H224, C224="Home &amp; Kitchen", 0.22*H224, C224="Beauty &amp; Personal Care", 0.3*H224, C224="Sports &amp; Fitness", 0.2*H224, TRUE, 0.15*H224), 2)</f>
        <v>#NAME?</v>
      </c>
      <c r="J224" s="19" t="s">
        <v>60</v>
      </c>
      <c r="K224" s="19" t="s">
        <v>56</v>
      </c>
      <c r="L224" s="16" t="s">
        <v>26</v>
      </c>
      <c r="M224" s="19" t="s">
        <v>80</v>
      </c>
    </row>
    <row r="225" spans="1:13" ht="12.75">
      <c r="A225" s="16" t="s">
        <v>380</v>
      </c>
      <c r="B225" s="17">
        <v>45855</v>
      </c>
      <c r="C225" s="19" t="s">
        <v>6</v>
      </c>
      <c r="D225" s="19" t="s">
        <v>78</v>
      </c>
      <c r="E225" s="3">
        <v>1</v>
      </c>
      <c r="F225" s="5">
        <v>1799</v>
      </c>
      <c r="G225" s="4">
        <v>0.18</v>
      </c>
      <c r="H225" s="5">
        <f t="shared" si="0"/>
        <v>1475.18</v>
      </c>
      <c r="I225" s="7" t="e">
        <f ca="1">ROUND(_xludf.IFS(L225="Cancelled", 0, L225="Returned", -0.1*H225, C225="Electronics", 0.14*H225, C225="Appliances", 0.16*H225, C225="Fashion", 0.26*H225, C225="Home &amp; Kitchen", 0.22*H225, C225="Beauty &amp; Personal Care", 0.3*H225, C225="Sports &amp; Fitness", 0.2*H225, TRUE, 0.15*H225), 2)</f>
        <v>#NAME?</v>
      </c>
      <c r="J225" s="19" t="s">
        <v>66</v>
      </c>
      <c r="K225" s="19" t="s">
        <v>47</v>
      </c>
      <c r="L225" s="16" t="s">
        <v>24</v>
      </c>
      <c r="M225" s="19" t="s">
        <v>64</v>
      </c>
    </row>
    <row r="226" spans="1:13" ht="12.75">
      <c r="A226" s="16" t="s">
        <v>381</v>
      </c>
      <c r="B226" s="17">
        <v>45858</v>
      </c>
      <c r="C226" s="19" t="s">
        <v>4</v>
      </c>
      <c r="D226" s="19" t="s">
        <v>72</v>
      </c>
      <c r="E226" s="3">
        <v>2</v>
      </c>
      <c r="F226" s="5">
        <v>1299</v>
      </c>
      <c r="G226" s="4">
        <v>0.28000000000000003</v>
      </c>
      <c r="H226" s="5">
        <f t="shared" si="0"/>
        <v>1870.56</v>
      </c>
      <c r="I226" s="7" t="e">
        <f ca="1">ROUND(_xludf.IFS(L226="Cancelled", 0, L226="Returned", -0.1*H226, C226="Electronics", 0.14*H226, C226="Appliances", 0.16*H226, C226="Fashion", 0.26*H226, C226="Home &amp; Kitchen", 0.22*H226, C226="Beauty &amp; Personal Care", 0.3*H226, C226="Sports &amp; Fitness", 0.2*H226, TRUE, 0.15*H226), 2)</f>
        <v>#NAME?</v>
      </c>
      <c r="J226" s="19" t="s">
        <v>51</v>
      </c>
      <c r="K226" s="19" t="s">
        <v>47</v>
      </c>
      <c r="L226" s="16" t="s">
        <v>24</v>
      </c>
      <c r="M226" s="19" t="s">
        <v>48</v>
      </c>
    </row>
    <row r="227" spans="1:13" ht="12.75">
      <c r="A227" s="16" t="s">
        <v>382</v>
      </c>
      <c r="B227" s="17">
        <v>45860</v>
      </c>
      <c r="C227" s="19" t="s">
        <v>3</v>
      </c>
      <c r="D227" s="19" t="s">
        <v>75</v>
      </c>
      <c r="E227" s="3">
        <v>1</v>
      </c>
      <c r="F227" s="5">
        <v>1899</v>
      </c>
      <c r="G227" s="4">
        <v>0.15</v>
      </c>
      <c r="H227" s="5">
        <f t="shared" si="0"/>
        <v>1614.15</v>
      </c>
      <c r="I227" s="7" t="e">
        <f ca="1">ROUND(_xludf.IFS(L227="Cancelled", 0, L227="Returned", -0.1*H227, C227="Electronics", 0.14*H227, C227="Appliances", 0.16*H227, C227="Fashion", 0.26*H227, C227="Home &amp; Kitchen", 0.22*H227, C227="Beauty &amp; Personal Care", 0.3*H227, C227="Sports &amp; Fitness", 0.2*H227, TRUE, 0.15*H227), 2)</f>
        <v>#NAME?</v>
      </c>
      <c r="J227" s="19" t="s">
        <v>46</v>
      </c>
      <c r="K227" s="19" t="s">
        <v>47</v>
      </c>
      <c r="L227" s="16" t="s">
        <v>24</v>
      </c>
      <c r="M227" s="19" t="s">
        <v>61</v>
      </c>
    </row>
    <row r="228" spans="1:13" ht="12.75">
      <c r="A228" s="16" t="s">
        <v>383</v>
      </c>
      <c r="B228" s="17">
        <v>45863</v>
      </c>
      <c r="C228" s="19" t="s">
        <v>2</v>
      </c>
      <c r="D228" s="19" t="s">
        <v>82</v>
      </c>
      <c r="E228" s="3">
        <v>3</v>
      </c>
      <c r="F228" s="5">
        <v>650</v>
      </c>
      <c r="G228" s="4">
        <v>0.1</v>
      </c>
      <c r="H228" s="5">
        <f t="shared" si="0"/>
        <v>1755</v>
      </c>
      <c r="I228" s="7" t="e">
        <f ca="1">ROUND(_xludf.IFS(L228="Cancelled", 0, L228="Returned", -0.1*H228, C228="Electronics", 0.14*H228, C228="Appliances", 0.16*H228, C228="Fashion", 0.26*H228, C228="Home &amp; Kitchen", 0.22*H228, C228="Beauty &amp; Personal Care", 0.3*H228, C228="Sports &amp; Fitness", 0.2*H228, TRUE, 0.15*H228), 2)</f>
        <v>#NAME?</v>
      </c>
      <c r="J228" s="19" t="s">
        <v>55</v>
      </c>
      <c r="K228" s="19" t="s">
        <v>47</v>
      </c>
      <c r="L228" s="16" t="s">
        <v>24</v>
      </c>
      <c r="M228" s="19" t="s">
        <v>52</v>
      </c>
    </row>
    <row r="229" spans="1:13" ht="12.75">
      <c r="A229" s="16" t="s">
        <v>384</v>
      </c>
      <c r="B229" s="17">
        <v>45865</v>
      </c>
      <c r="C229" s="19" t="s">
        <v>7</v>
      </c>
      <c r="D229" s="19" t="s">
        <v>98</v>
      </c>
      <c r="E229" s="3">
        <v>1</v>
      </c>
      <c r="F229" s="5">
        <v>7792</v>
      </c>
      <c r="G229" s="4">
        <v>0.2</v>
      </c>
      <c r="H229" s="5">
        <f t="shared" si="0"/>
        <v>6233.6</v>
      </c>
      <c r="I229" s="7" t="e">
        <f ca="1">ROUND(_xludf.IFS(L229="Cancelled", 0, L229="Returned", -0.1*H229, C229="Electronics", 0.14*H229, C229="Appliances", 0.16*H229, C229="Fashion", 0.26*H229, C229="Home &amp; Kitchen", 0.22*H229, C229="Beauty &amp; Personal Care", 0.3*H229, C229="Sports &amp; Fitness", 0.2*H229, TRUE, 0.15*H229), 2)</f>
        <v>#NAME?</v>
      </c>
      <c r="J229" s="19" t="s">
        <v>51</v>
      </c>
      <c r="K229" s="19" t="s">
        <v>47</v>
      </c>
      <c r="L229" s="16" t="s">
        <v>24</v>
      </c>
      <c r="M229" s="19" t="s">
        <v>67</v>
      </c>
    </row>
    <row r="230" spans="1:13" ht="12.75">
      <c r="A230" s="16" t="s">
        <v>385</v>
      </c>
      <c r="B230" s="17">
        <v>45868</v>
      </c>
      <c r="C230" s="19" t="s">
        <v>5</v>
      </c>
      <c r="D230" s="19" t="s">
        <v>265</v>
      </c>
      <c r="E230" s="3">
        <v>1</v>
      </c>
      <c r="F230" s="5">
        <v>649</v>
      </c>
      <c r="G230" s="4">
        <v>0.15</v>
      </c>
      <c r="H230" s="5">
        <f t="shared" si="0"/>
        <v>551.65</v>
      </c>
      <c r="I230" s="7" t="e">
        <f ca="1">ROUND(_xludf.IFS(L230="Cancelled", 0, L230="Returned", -0.1*H230, C230="Electronics", 0.14*H230, C230="Appliances", 0.16*H230, C230="Fashion", 0.26*H230, C230="Home &amp; Kitchen", 0.22*H230, C230="Beauty &amp; Personal Care", 0.3*H230, C230="Sports &amp; Fitness", 0.2*H230, TRUE, 0.15*H230), 2)</f>
        <v>#NAME?</v>
      </c>
      <c r="J230" s="19" t="s">
        <v>60</v>
      </c>
      <c r="K230" s="19" t="s">
        <v>56</v>
      </c>
      <c r="L230" s="16" t="s">
        <v>24</v>
      </c>
      <c r="M230" s="19" t="s">
        <v>73</v>
      </c>
    </row>
    <row r="231" spans="1:13" ht="12.75">
      <c r="A231" s="16" t="s">
        <v>386</v>
      </c>
      <c r="B231" s="17">
        <v>45870</v>
      </c>
      <c r="C231" s="19" t="s">
        <v>6</v>
      </c>
      <c r="D231" s="19" t="s">
        <v>87</v>
      </c>
      <c r="E231" s="3">
        <v>2</v>
      </c>
      <c r="F231" s="5">
        <v>2495</v>
      </c>
      <c r="G231" s="4">
        <v>0.12</v>
      </c>
      <c r="H231" s="5">
        <f t="shared" si="0"/>
        <v>4391.2</v>
      </c>
      <c r="I231" s="7" t="e">
        <f ca="1">ROUND(_xludf.IFS(L231="Cancelled", 0, L231="Returned", -0.1*H231, C231="Electronics", 0.14*H231, C231="Appliances", 0.16*H231, C231="Fashion", 0.26*H231, C231="Home &amp; Kitchen", 0.22*H231, C231="Beauty &amp; Personal Care", 0.3*H231, C231="Sports &amp; Fitness", 0.2*H231, TRUE, 0.15*H231), 2)</f>
        <v>#NAME?</v>
      </c>
      <c r="J231" s="19" t="s">
        <v>79</v>
      </c>
      <c r="K231" s="19" t="s">
        <v>47</v>
      </c>
      <c r="L231" s="16" t="s">
        <v>24</v>
      </c>
      <c r="M231" s="19" t="s">
        <v>48</v>
      </c>
    </row>
    <row r="232" spans="1:13" ht="12.75">
      <c r="A232" s="16" t="s">
        <v>387</v>
      </c>
      <c r="B232" s="17">
        <v>45873</v>
      </c>
      <c r="C232" s="19" t="s">
        <v>4</v>
      </c>
      <c r="D232" s="19" t="s">
        <v>31</v>
      </c>
      <c r="E232" s="3">
        <v>1</v>
      </c>
      <c r="F232" s="5">
        <v>3499</v>
      </c>
      <c r="G232" s="4">
        <v>0.22</v>
      </c>
      <c r="H232" s="5">
        <f t="shared" si="0"/>
        <v>2729.22</v>
      </c>
      <c r="I232" s="7" t="e">
        <f ca="1">ROUND(_xludf.IFS(L232="Cancelled", 0, L232="Returned", -0.1*H232, C232="Electronics", 0.14*H232, C232="Appliances", 0.16*H232, C232="Fashion", 0.26*H232, C232="Home &amp; Kitchen", 0.22*H232, C232="Beauty &amp; Personal Care", 0.3*H232, C232="Sports &amp; Fitness", 0.2*H232, TRUE, 0.15*H232), 2)</f>
        <v>#NAME?</v>
      </c>
      <c r="J232" s="19" t="s">
        <v>51</v>
      </c>
      <c r="K232" s="19" t="s">
        <v>56</v>
      </c>
      <c r="L232" s="16" t="s">
        <v>23</v>
      </c>
      <c r="M232" s="19" t="s">
        <v>64</v>
      </c>
    </row>
    <row r="233" spans="1:13" ht="12.75">
      <c r="A233" s="16" t="s">
        <v>388</v>
      </c>
      <c r="B233" s="17">
        <v>45875</v>
      </c>
      <c r="C233" s="19" t="s">
        <v>3</v>
      </c>
      <c r="D233" s="19" t="s">
        <v>103</v>
      </c>
      <c r="E233" s="3">
        <v>1</v>
      </c>
      <c r="F233" s="5">
        <v>1750</v>
      </c>
      <c r="G233" s="4">
        <v>0.1</v>
      </c>
      <c r="H233" s="5">
        <f t="shared" si="0"/>
        <v>1575</v>
      </c>
      <c r="I233" s="7" t="e">
        <f ca="1">ROUND(_xludf.IFS(L233="Cancelled", 0, L233="Returned", -0.1*H233, C233="Electronics", 0.14*H233, C233="Appliances", 0.16*H233, C233="Fashion", 0.26*H233, C233="Home &amp; Kitchen", 0.22*H233, C233="Beauty &amp; Personal Care", 0.3*H233, C233="Sports &amp; Fitness", 0.2*H233, TRUE, 0.15*H233), 2)</f>
        <v>#NAME?</v>
      </c>
      <c r="J233" s="19" t="s">
        <v>79</v>
      </c>
      <c r="K233" s="19" t="s">
        <v>47</v>
      </c>
      <c r="L233" s="16" t="s">
        <v>24</v>
      </c>
      <c r="M233" s="19" t="s">
        <v>48</v>
      </c>
    </row>
    <row r="234" spans="1:13" ht="12.75">
      <c r="A234" s="16" t="s">
        <v>389</v>
      </c>
      <c r="B234" s="17">
        <v>45878</v>
      </c>
      <c r="C234" s="19" t="s">
        <v>2</v>
      </c>
      <c r="D234" s="19" t="s">
        <v>94</v>
      </c>
      <c r="E234" s="3">
        <v>2</v>
      </c>
      <c r="F234" s="5">
        <v>599</v>
      </c>
      <c r="G234" s="4">
        <v>0.12</v>
      </c>
      <c r="H234" s="5">
        <f t="shared" si="0"/>
        <v>1054.24</v>
      </c>
      <c r="I234" s="7" t="e">
        <f ca="1">ROUND(_xludf.IFS(L234="Cancelled", 0, L234="Returned", -0.1*H234, C234="Electronics", 0.14*H234, C234="Appliances", 0.16*H234, C234="Fashion", 0.26*H234, C234="Home &amp; Kitchen", 0.22*H234, C234="Beauty &amp; Personal Care", 0.3*H234, C234="Sports &amp; Fitness", 0.2*H234, TRUE, 0.15*H234), 2)</f>
        <v>#NAME?</v>
      </c>
      <c r="J234" s="19" t="s">
        <v>46</v>
      </c>
      <c r="K234" s="19" t="s">
        <v>47</v>
      </c>
      <c r="L234" s="16" t="s">
        <v>24</v>
      </c>
      <c r="M234" s="19" t="s">
        <v>52</v>
      </c>
    </row>
    <row r="235" spans="1:13" ht="12.75">
      <c r="A235" s="16" t="s">
        <v>390</v>
      </c>
      <c r="B235" s="17">
        <v>45880</v>
      </c>
      <c r="C235" s="19" t="s">
        <v>7</v>
      </c>
      <c r="D235" s="19" t="s">
        <v>113</v>
      </c>
      <c r="E235" s="3">
        <v>2</v>
      </c>
      <c r="F235" s="5">
        <v>2199</v>
      </c>
      <c r="G235" s="4">
        <v>0.12</v>
      </c>
      <c r="H235" s="5">
        <f t="shared" si="0"/>
        <v>3870.24</v>
      </c>
      <c r="I235" s="7" t="e">
        <f ca="1">ROUND(_xludf.IFS(L235="Cancelled", 0, L235="Returned", -0.1*H235, C235="Electronics", 0.14*H235, C235="Appliances", 0.16*H235, C235="Fashion", 0.26*H235, C235="Home &amp; Kitchen", 0.22*H235, C235="Beauty &amp; Personal Care", 0.3*H235, C235="Sports &amp; Fitness", 0.2*H235, TRUE, 0.15*H235), 2)</f>
        <v>#NAME?</v>
      </c>
      <c r="J235" s="19" t="s">
        <v>55</v>
      </c>
      <c r="K235" s="19" t="s">
        <v>47</v>
      </c>
      <c r="L235" s="16" t="s">
        <v>24</v>
      </c>
      <c r="M235" s="19" t="s">
        <v>57</v>
      </c>
    </row>
    <row r="236" spans="1:13" ht="12.75">
      <c r="A236" s="16" t="s">
        <v>391</v>
      </c>
      <c r="B236" s="17">
        <v>45883</v>
      </c>
      <c r="C236" s="19" t="s">
        <v>5</v>
      </c>
      <c r="D236" s="19" t="s">
        <v>89</v>
      </c>
      <c r="E236" s="3">
        <v>1</v>
      </c>
      <c r="F236" s="5">
        <v>1249</v>
      </c>
      <c r="G236" s="4">
        <v>0.15</v>
      </c>
      <c r="H236" s="5">
        <f t="shared" si="0"/>
        <v>1061.6500000000001</v>
      </c>
      <c r="I236" s="7" t="e">
        <f ca="1">ROUND(_xludf.IFS(L236="Cancelled", 0, L236="Returned", -0.1*H236, C236="Electronics", 0.14*H236, C236="Appliances", 0.16*H236, C236="Fashion", 0.26*H236, C236="Home &amp; Kitchen", 0.22*H236, C236="Beauty &amp; Personal Care", 0.3*H236, C236="Sports &amp; Fitness", 0.2*H236, TRUE, 0.15*H236), 2)</f>
        <v>#NAME?</v>
      </c>
      <c r="J236" s="19" t="s">
        <v>46</v>
      </c>
      <c r="K236" s="19" t="s">
        <v>56</v>
      </c>
      <c r="L236" s="16" t="s">
        <v>24</v>
      </c>
      <c r="M236" s="19" t="s">
        <v>70</v>
      </c>
    </row>
    <row r="237" spans="1:13" ht="12.75">
      <c r="A237" s="16" t="s">
        <v>392</v>
      </c>
      <c r="B237" s="17">
        <v>45885</v>
      </c>
      <c r="C237" s="19" t="s">
        <v>6</v>
      </c>
      <c r="D237" s="19" t="s">
        <v>96</v>
      </c>
      <c r="E237" s="3">
        <v>2</v>
      </c>
      <c r="F237" s="5">
        <v>1399</v>
      </c>
      <c r="G237" s="4">
        <v>0.2</v>
      </c>
      <c r="H237" s="5">
        <f t="shared" si="0"/>
        <v>2238.4</v>
      </c>
      <c r="I237" s="7" t="e">
        <f ca="1">ROUND(_xludf.IFS(L237="Cancelled", 0, L237="Returned", -0.1*H237, C237="Electronics", 0.14*H237, C237="Appliances", 0.16*H237, C237="Fashion", 0.26*H237, C237="Home &amp; Kitchen", 0.22*H237, C237="Beauty &amp; Personal Care", 0.3*H237, C237="Sports &amp; Fitness", 0.2*H237, TRUE, 0.15*H237), 2)</f>
        <v>#NAME?</v>
      </c>
      <c r="J237" s="19" t="s">
        <v>51</v>
      </c>
      <c r="K237" s="19" t="s">
        <v>56</v>
      </c>
      <c r="L237" s="16" t="s">
        <v>24</v>
      </c>
      <c r="M237" s="19" t="s">
        <v>67</v>
      </c>
    </row>
    <row r="238" spans="1:13" ht="12.75">
      <c r="A238" s="16" t="s">
        <v>393</v>
      </c>
      <c r="B238" s="17">
        <v>45888</v>
      </c>
      <c r="C238" s="19" t="s">
        <v>4</v>
      </c>
      <c r="D238" s="19" t="s">
        <v>101</v>
      </c>
      <c r="E238" s="3">
        <v>3</v>
      </c>
      <c r="F238" s="5">
        <v>1199</v>
      </c>
      <c r="G238" s="4">
        <v>0.25</v>
      </c>
      <c r="H238" s="5">
        <f t="shared" si="0"/>
        <v>2697.75</v>
      </c>
      <c r="I238" s="7" t="e">
        <f ca="1">ROUND(_xludf.IFS(L238="Cancelled", 0, L238="Returned", -0.1*H238, C238="Electronics", 0.14*H238, C238="Appliances", 0.16*H238, C238="Fashion", 0.26*H238, C238="Home &amp; Kitchen", 0.22*H238, C238="Beauty &amp; Personal Care", 0.3*H238, C238="Sports &amp; Fitness", 0.2*H238, TRUE, 0.15*H238), 2)</f>
        <v>#NAME?</v>
      </c>
      <c r="J238" s="19" t="s">
        <v>46</v>
      </c>
      <c r="K238" s="19" t="s">
        <v>47</v>
      </c>
      <c r="L238" s="16" t="s">
        <v>24</v>
      </c>
      <c r="M238" s="19" t="s">
        <v>64</v>
      </c>
    </row>
    <row r="239" spans="1:13" ht="12.75">
      <c r="A239" s="16" t="s">
        <v>394</v>
      </c>
      <c r="B239" s="17">
        <v>45890</v>
      </c>
      <c r="C239" s="19" t="s">
        <v>3</v>
      </c>
      <c r="D239" s="19" t="s">
        <v>92</v>
      </c>
      <c r="E239" s="3">
        <v>3</v>
      </c>
      <c r="F239" s="5">
        <v>980</v>
      </c>
      <c r="G239" s="4">
        <v>0.08</v>
      </c>
      <c r="H239" s="5">
        <f t="shared" si="0"/>
        <v>2704.8</v>
      </c>
      <c r="I239" s="7" t="e">
        <f ca="1">ROUND(_xludf.IFS(L239="Cancelled", 0, L239="Returned", -0.1*H239, C239="Electronics", 0.14*H239, C239="Appliances", 0.16*H239, C239="Fashion", 0.26*H239, C239="Home &amp; Kitchen", 0.22*H239, C239="Beauty &amp; Personal Care", 0.3*H239, C239="Sports &amp; Fitness", 0.2*H239, TRUE, 0.15*H239), 2)</f>
        <v>#NAME?</v>
      </c>
      <c r="J239" s="19" t="s">
        <v>66</v>
      </c>
      <c r="K239" s="19" t="s">
        <v>47</v>
      </c>
      <c r="L239" s="16" t="s">
        <v>24</v>
      </c>
      <c r="M239" s="19" t="s">
        <v>73</v>
      </c>
    </row>
    <row r="240" spans="1:13" ht="12.75">
      <c r="A240" s="16" t="s">
        <v>395</v>
      </c>
      <c r="B240" s="17">
        <v>45893</v>
      </c>
      <c r="C240" s="19" t="s">
        <v>2</v>
      </c>
      <c r="D240" s="19" t="s">
        <v>105</v>
      </c>
      <c r="E240" s="3">
        <v>2</v>
      </c>
      <c r="F240" s="5">
        <v>499</v>
      </c>
      <c r="G240" s="4">
        <v>0.15</v>
      </c>
      <c r="H240" s="5">
        <f t="shared" si="0"/>
        <v>848.3</v>
      </c>
      <c r="I240" s="7" t="e">
        <f ca="1">ROUND(_xludf.IFS(L240="Cancelled", 0, L240="Returned", -0.1*H240, C240="Electronics", 0.14*H240, C240="Appliances", 0.16*H240, C240="Fashion", 0.26*H240, C240="Home &amp; Kitchen", 0.22*H240, C240="Beauty &amp; Personal Care", 0.3*H240, C240="Sports &amp; Fitness", 0.2*H240, TRUE, 0.15*H240), 2)</f>
        <v>#NAME?</v>
      </c>
      <c r="J240" s="19" t="s">
        <v>60</v>
      </c>
      <c r="K240" s="19" t="s">
        <v>47</v>
      </c>
      <c r="L240" s="16" t="s">
        <v>24</v>
      </c>
      <c r="M240" s="19" t="s">
        <v>61</v>
      </c>
    </row>
    <row r="241" spans="1:13" ht="12.75">
      <c r="A241" s="16" t="s">
        <v>396</v>
      </c>
      <c r="B241" s="17">
        <v>45895</v>
      </c>
      <c r="C241" s="19" t="s">
        <v>7</v>
      </c>
      <c r="D241" s="19" t="s">
        <v>130</v>
      </c>
      <c r="E241" s="3">
        <v>1</v>
      </c>
      <c r="F241" s="5">
        <v>14999</v>
      </c>
      <c r="G241" s="4">
        <v>0.15</v>
      </c>
      <c r="H241" s="5">
        <f t="shared" si="0"/>
        <v>12749.15</v>
      </c>
      <c r="I241" s="7" t="e">
        <f ca="1">ROUND(_xludf.IFS(L241="Cancelled", 0, L241="Returned", -0.1*H241, C241="Electronics", 0.14*H241, C241="Appliances", 0.16*H241, C241="Fashion", 0.26*H241, C241="Home &amp; Kitchen", 0.22*H241, C241="Beauty &amp; Personal Care", 0.3*H241, C241="Sports &amp; Fitness", 0.2*H241, TRUE, 0.15*H241), 2)</f>
        <v>#NAME?</v>
      </c>
      <c r="J241" s="19" t="s">
        <v>51</v>
      </c>
      <c r="K241" s="19" t="s">
        <v>47</v>
      </c>
      <c r="L241" s="16" t="s">
        <v>24</v>
      </c>
      <c r="M241" s="19" t="s">
        <v>48</v>
      </c>
    </row>
    <row r="242" spans="1:13" ht="12.75">
      <c r="A242" s="16" t="s">
        <v>397</v>
      </c>
      <c r="B242" s="17">
        <v>45898</v>
      </c>
      <c r="C242" s="19" t="s">
        <v>5</v>
      </c>
      <c r="D242" s="19" t="s">
        <v>108</v>
      </c>
      <c r="E242" s="3">
        <v>2</v>
      </c>
      <c r="F242" s="5">
        <v>480</v>
      </c>
      <c r="G242" s="4">
        <v>0.05</v>
      </c>
      <c r="H242" s="5">
        <f t="shared" si="0"/>
        <v>912</v>
      </c>
      <c r="I242" s="7" t="e">
        <f ca="1">ROUND(_xludf.IFS(L242="Cancelled", 0, L242="Returned", -0.1*H242, C242="Electronics", 0.14*H242, C242="Appliances", 0.16*H242, C242="Fashion", 0.26*H242, C242="Home &amp; Kitchen", 0.22*H242, C242="Beauty &amp; Personal Care", 0.3*H242, C242="Sports &amp; Fitness", 0.2*H242, TRUE, 0.15*H242), 2)</f>
        <v>#NAME?</v>
      </c>
      <c r="J242" s="19" t="s">
        <v>46</v>
      </c>
      <c r="K242" s="19" t="s">
        <v>47</v>
      </c>
      <c r="L242" s="16" t="s">
        <v>24</v>
      </c>
      <c r="M242" s="19" t="s">
        <v>76</v>
      </c>
    </row>
    <row r="243" spans="1:13" ht="12.75">
      <c r="A243" s="16" t="s">
        <v>398</v>
      </c>
      <c r="B243" s="17">
        <v>45900</v>
      </c>
      <c r="C243" s="19" t="s">
        <v>6</v>
      </c>
      <c r="D243" s="19" t="s">
        <v>19</v>
      </c>
      <c r="E243" s="3">
        <v>1</v>
      </c>
      <c r="F243" s="5">
        <v>16999</v>
      </c>
      <c r="G243" s="4">
        <v>0.15</v>
      </c>
      <c r="H243" s="5">
        <f t="shared" si="0"/>
        <v>14449.15</v>
      </c>
      <c r="I243" s="7" t="e">
        <f ca="1">ROUND(_xludf.IFS(L243="Cancelled", 0, L243="Returned", -0.1*H243, C243="Electronics", 0.14*H243, C243="Appliances", 0.16*H243, C243="Fashion", 0.26*H243, C243="Home &amp; Kitchen", 0.22*H243, C243="Beauty &amp; Personal Care", 0.3*H243, C243="Sports &amp; Fitness", 0.2*H243, TRUE, 0.15*H243), 2)</f>
        <v>#NAME?</v>
      </c>
      <c r="J243" s="19" t="s">
        <v>66</v>
      </c>
      <c r="K243" s="19" t="s">
        <v>47</v>
      </c>
      <c r="L243" s="16" t="s">
        <v>24</v>
      </c>
      <c r="M243" s="19" t="s">
        <v>52</v>
      </c>
    </row>
    <row r="244" spans="1:13" ht="12.75">
      <c r="A244" s="16" t="s">
        <v>399</v>
      </c>
      <c r="B244" s="17">
        <v>45903</v>
      </c>
      <c r="C244" s="19" t="s">
        <v>4</v>
      </c>
      <c r="D244" s="19" t="s">
        <v>116</v>
      </c>
      <c r="E244" s="3">
        <v>1</v>
      </c>
      <c r="F244" s="5">
        <v>1899</v>
      </c>
      <c r="G244" s="4">
        <v>0.3</v>
      </c>
      <c r="H244" s="5">
        <f t="shared" si="0"/>
        <v>1329.3</v>
      </c>
      <c r="I244" s="7" t="e">
        <f ca="1">ROUND(_xludf.IFS(L244="Cancelled", 0, L244="Returned", -0.1*H244, C244="Electronics", 0.14*H244, C244="Appliances", 0.16*H244, C244="Fashion", 0.26*H244, C244="Home &amp; Kitchen", 0.22*H244, C244="Beauty &amp; Personal Care", 0.3*H244, C244="Sports &amp; Fitness", 0.2*H244, TRUE, 0.15*H244), 2)</f>
        <v>#NAME?</v>
      </c>
      <c r="J244" s="19" t="s">
        <v>46</v>
      </c>
      <c r="K244" s="19" t="s">
        <v>56</v>
      </c>
      <c r="L244" s="16" t="s">
        <v>24</v>
      </c>
      <c r="M244" s="19" t="s">
        <v>114</v>
      </c>
    </row>
    <row r="245" spans="1:13" ht="12.75">
      <c r="A245" s="16" t="s">
        <v>400</v>
      </c>
      <c r="B245" s="17">
        <v>45905</v>
      </c>
      <c r="C245" s="19" t="s">
        <v>3</v>
      </c>
      <c r="D245" s="19" t="s">
        <v>120</v>
      </c>
      <c r="E245" s="3">
        <v>1</v>
      </c>
      <c r="F245" s="5">
        <v>995</v>
      </c>
      <c r="G245" s="4">
        <v>0.1</v>
      </c>
      <c r="H245" s="5">
        <f t="shared" si="0"/>
        <v>895.5</v>
      </c>
      <c r="I245" s="7" t="e">
        <f ca="1">ROUND(_xludf.IFS(L245="Cancelled", 0, L245="Returned", -0.1*H245, C245="Electronics", 0.14*H245, C245="Appliances", 0.16*H245, C245="Fashion", 0.26*H245, C245="Home &amp; Kitchen", 0.22*H245, C245="Beauty &amp; Personal Care", 0.3*H245, C245="Sports &amp; Fitness", 0.2*H245, TRUE, 0.15*H245), 2)</f>
        <v>#NAME?</v>
      </c>
      <c r="J245" s="19" t="s">
        <v>55</v>
      </c>
      <c r="K245" s="19" t="s">
        <v>47</v>
      </c>
      <c r="L245" s="16" t="s">
        <v>24</v>
      </c>
      <c r="M245" s="19" t="s">
        <v>64</v>
      </c>
    </row>
    <row r="246" spans="1:13" ht="12.75">
      <c r="A246" s="16" t="s">
        <v>401</v>
      </c>
      <c r="B246" s="17">
        <v>45908</v>
      </c>
      <c r="C246" s="19" t="s">
        <v>2</v>
      </c>
      <c r="D246" s="19" t="s">
        <v>122</v>
      </c>
      <c r="E246" s="3">
        <v>3</v>
      </c>
      <c r="F246" s="5">
        <v>549</v>
      </c>
      <c r="G246" s="4">
        <v>0.05</v>
      </c>
      <c r="H246" s="5">
        <f t="shared" si="0"/>
        <v>1564.65</v>
      </c>
      <c r="I246" s="7" t="e">
        <f ca="1">ROUND(_xludf.IFS(L246="Cancelled", 0, L246="Returned", -0.1*H246, C246="Electronics", 0.14*H246, C246="Appliances", 0.16*H246, C246="Fashion", 0.26*H246, C246="Home &amp; Kitchen", 0.22*H246, C246="Beauty &amp; Personal Care", 0.3*H246, C246="Sports &amp; Fitness", 0.2*H246, TRUE, 0.15*H246), 2)</f>
        <v>#NAME?</v>
      </c>
      <c r="J246" s="19" t="s">
        <v>46</v>
      </c>
      <c r="K246" s="19" t="s">
        <v>47</v>
      </c>
      <c r="L246" s="16" t="s">
        <v>24</v>
      </c>
      <c r="M246" s="19" t="s">
        <v>80</v>
      </c>
    </row>
    <row r="247" spans="1:13" ht="12.75">
      <c r="A247" s="16" t="s">
        <v>402</v>
      </c>
      <c r="B247" s="17">
        <v>45910</v>
      </c>
      <c r="C247" s="19" t="s">
        <v>7</v>
      </c>
      <c r="D247" s="19" t="s">
        <v>140</v>
      </c>
      <c r="E247" s="3">
        <v>1</v>
      </c>
      <c r="F247" s="5">
        <v>6299</v>
      </c>
      <c r="G247" s="4">
        <v>0.18</v>
      </c>
      <c r="H247" s="5">
        <f t="shared" si="0"/>
        <v>5165.18</v>
      </c>
      <c r="I247" s="7" t="e">
        <f ca="1">ROUND(_xludf.IFS(L247="Cancelled", 0, L247="Returned", -0.1*H247, C247="Electronics", 0.14*H247, C247="Appliances", 0.16*H247, C247="Fashion", 0.26*H247, C247="Home &amp; Kitchen", 0.22*H247, C247="Beauty &amp; Personal Care", 0.3*H247, C247="Sports &amp; Fitness", 0.2*H247, TRUE, 0.15*H247), 2)</f>
        <v>#NAME?</v>
      </c>
      <c r="J247" s="19" t="s">
        <v>55</v>
      </c>
      <c r="K247" s="19" t="s">
        <v>47</v>
      </c>
      <c r="L247" s="16" t="s">
        <v>24</v>
      </c>
      <c r="M247" s="19" t="s">
        <v>48</v>
      </c>
    </row>
    <row r="248" spans="1:13" ht="12.75">
      <c r="A248" s="16" t="s">
        <v>403</v>
      </c>
      <c r="B248" s="17">
        <v>45913</v>
      </c>
      <c r="C248" s="19" t="s">
        <v>5</v>
      </c>
      <c r="D248" s="19" t="s">
        <v>124</v>
      </c>
      <c r="E248" s="3">
        <v>2</v>
      </c>
      <c r="F248" s="5">
        <v>699</v>
      </c>
      <c r="G248" s="4">
        <v>0.15</v>
      </c>
      <c r="H248" s="5">
        <f t="shared" si="0"/>
        <v>1188.3</v>
      </c>
      <c r="I248" s="7" t="e">
        <f ca="1">ROUND(_xludf.IFS(L248="Cancelled", 0, L248="Returned", -0.1*H248, C248="Electronics", 0.14*H248, C248="Appliances", 0.16*H248, C248="Fashion", 0.26*H248, C248="Home &amp; Kitchen", 0.22*H248, C248="Beauty &amp; Personal Care", 0.3*H248, C248="Sports &amp; Fitness", 0.2*H248, TRUE, 0.15*H248), 2)</f>
        <v>#NAME?</v>
      </c>
      <c r="J248" s="19" t="s">
        <v>60</v>
      </c>
      <c r="K248" s="19" t="s">
        <v>56</v>
      </c>
      <c r="L248" s="16" t="s">
        <v>26</v>
      </c>
      <c r="M248" s="19" t="s">
        <v>106</v>
      </c>
    </row>
    <row r="249" spans="1:13" ht="12.75">
      <c r="A249" s="16" t="s">
        <v>404</v>
      </c>
      <c r="B249" s="17">
        <v>45915</v>
      </c>
      <c r="C249" s="19" t="s">
        <v>6</v>
      </c>
      <c r="D249" s="19" t="s">
        <v>111</v>
      </c>
      <c r="E249" s="3">
        <v>1</v>
      </c>
      <c r="F249" s="5">
        <v>2999</v>
      </c>
      <c r="G249" s="4">
        <v>0.18</v>
      </c>
      <c r="H249" s="5">
        <f t="shared" si="0"/>
        <v>2459.1799999999998</v>
      </c>
      <c r="I249" s="7" t="e">
        <f ca="1">ROUND(_xludf.IFS(L249="Cancelled", 0, L249="Returned", -0.1*H249, C249="Electronics", 0.14*H249, C249="Appliances", 0.16*H249, C249="Fashion", 0.26*H249, C249="Home &amp; Kitchen", 0.22*H249, C249="Beauty &amp; Personal Care", 0.3*H249, C249="Sports &amp; Fitness", 0.2*H249, TRUE, 0.15*H249), 2)</f>
        <v>#NAME?</v>
      </c>
      <c r="J249" s="19" t="s">
        <v>51</v>
      </c>
      <c r="K249" s="19" t="s">
        <v>47</v>
      </c>
      <c r="L249" s="16" t="s">
        <v>24</v>
      </c>
      <c r="M249" s="19" t="s">
        <v>57</v>
      </c>
    </row>
    <row r="250" spans="1:13" ht="12.75">
      <c r="A250" s="16" t="s">
        <v>405</v>
      </c>
      <c r="B250" s="17">
        <v>45918</v>
      </c>
      <c r="C250" s="19" t="s">
        <v>4</v>
      </c>
      <c r="D250" s="19" t="s">
        <v>128</v>
      </c>
      <c r="E250" s="3">
        <v>1</v>
      </c>
      <c r="F250" s="5">
        <v>1699</v>
      </c>
      <c r="G250" s="4">
        <v>0.32</v>
      </c>
      <c r="H250" s="5">
        <f t="shared" si="0"/>
        <v>1155.32</v>
      </c>
      <c r="I250" s="7" t="e">
        <f ca="1">ROUND(_xludf.IFS(L250="Cancelled", 0, L250="Returned", -0.1*H250, C250="Electronics", 0.14*H250, C250="Appliances", 0.16*H250, C250="Fashion", 0.26*H250, C250="Home &amp; Kitchen", 0.22*H250, C250="Beauty &amp; Personal Care", 0.3*H250, C250="Sports &amp; Fitness", 0.2*H250, TRUE, 0.15*H250), 2)</f>
        <v>#NAME?</v>
      </c>
      <c r="J250" s="19" t="s">
        <v>46</v>
      </c>
      <c r="K250" s="19" t="s">
        <v>47</v>
      </c>
      <c r="L250" s="16" t="s">
        <v>24</v>
      </c>
      <c r="M250" s="19" t="s">
        <v>67</v>
      </c>
    </row>
    <row r="251" spans="1:13" ht="12.75">
      <c r="A251" s="16" t="s">
        <v>406</v>
      </c>
      <c r="B251" s="17">
        <v>45920</v>
      </c>
      <c r="C251" s="19" t="s">
        <v>3</v>
      </c>
      <c r="D251" s="19" t="s">
        <v>132</v>
      </c>
      <c r="E251" s="3">
        <v>2</v>
      </c>
      <c r="F251" s="5">
        <v>449</v>
      </c>
      <c r="G251" s="4">
        <v>0.1</v>
      </c>
      <c r="H251" s="5">
        <f t="shared" si="0"/>
        <v>808.2</v>
      </c>
      <c r="I251" s="7" t="e">
        <f ca="1">ROUND(_xludf.IFS(L251="Cancelled", 0, L251="Returned", -0.1*H251, C251="Electronics", 0.14*H251, C251="Appliances", 0.16*H251, C251="Fashion", 0.26*H251, C251="Home &amp; Kitchen", 0.22*H251, C251="Beauty &amp; Personal Care", 0.3*H251, C251="Sports &amp; Fitness", 0.2*H251, TRUE, 0.15*H251), 2)</f>
        <v>#NAME?</v>
      </c>
      <c r="J251" s="19" t="s">
        <v>66</v>
      </c>
      <c r="K251" s="19" t="s">
        <v>47</v>
      </c>
      <c r="L251" s="16" t="s">
        <v>24</v>
      </c>
      <c r="M251" s="19" t="s">
        <v>52</v>
      </c>
    </row>
    <row r="252" spans="1:13" ht="12.75">
      <c r="A252" s="16" t="s">
        <v>407</v>
      </c>
      <c r="B252" s="17">
        <v>45923</v>
      </c>
      <c r="C252" s="19" t="s">
        <v>2</v>
      </c>
      <c r="D252" s="19" t="s">
        <v>136</v>
      </c>
      <c r="E252" s="3">
        <v>1</v>
      </c>
      <c r="F252" s="5">
        <v>1475</v>
      </c>
      <c r="G252" s="4">
        <v>0.05</v>
      </c>
      <c r="H252" s="5">
        <f t="shared" si="0"/>
        <v>1401.25</v>
      </c>
      <c r="I252" s="7" t="e">
        <f ca="1">ROUND(_xludf.IFS(L252="Cancelled", 0, L252="Returned", -0.1*H252, C252="Electronics", 0.14*H252, C252="Appliances", 0.16*H252, C252="Fashion", 0.26*H252, C252="Home &amp; Kitchen", 0.22*H252, C252="Beauty &amp; Personal Care", 0.3*H252, C252="Sports &amp; Fitness", 0.2*H252, TRUE, 0.15*H252), 2)</f>
        <v>#NAME?</v>
      </c>
      <c r="J252" s="19" t="s">
        <v>51</v>
      </c>
      <c r="K252" s="19" t="s">
        <v>47</v>
      </c>
      <c r="L252" s="16" t="s">
        <v>24</v>
      </c>
      <c r="M252" s="19" t="s">
        <v>73</v>
      </c>
    </row>
    <row r="253" spans="1:13" ht="12.75">
      <c r="A253" s="16" t="s">
        <v>408</v>
      </c>
      <c r="B253" s="17">
        <v>45925</v>
      </c>
      <c r="C253" s="19" t="s">
        <v>7</v>
      </c>
      <c r="D253" s="19" t="s">
        <v>15</v>
      </c>
      <c r="E253" s="3">
        <v>1</v>
      </c>
      <c r="F253" s="5">
        <v>27490</v>
      </c>
      <c r="G253" s="4">
        <v>0.15</v>
      </c>
      <c r="H253" s="5">
        <f t="shared" si="0"/>
        <v>23366.5</v>
      </c>
      <c r="I253" s="7" t="e">
        <f ca="1">ROUND(_xludf.IFS(L253="Cancelled", 0, L253="Returned", -0.1*H253, C253="Electronics", 0.14*H253, C253="Appliances", 0.16*H253, C253="Fashion", 0.26*H253, C253="Home &amp; Kitchen", 0.22*H253, C253="Beauty &amp; Personal Care", 0.3*H253, C253="Sports &amp; Fitness", 0.2*H253, TRUE, 0.15*H253), 2)</f>
        <v>#NAME?</v>
      </c>
      <c r="J253" s="19" t="s">
        <v>55</v>
      </c>
      <c r="K253" s="19" t="s">
        <v>47</v>
      </c>
      <c r="L253" s="16" t="s">
        <v>24</v>
      </c>
      <c r="M253" s="19" t="s">
        <v>64</v>
      </c>
    </row>
    <row r="254" spans="1:13" ht="12.75">
      <c r="A254" s="16" t="s">
        <v>409</v>
      </c>
      <c r="B254" s="17">
        <v>45928</v>
      </c>
      <c r="C254" s="19" t="s">
        <v>5</v>
      </c>
      <c r="D254" s="19" t="s">
        <v>138</v>
      </c>
      <c r="E254" s="3">
        <v>2</v>
      </c>
      <c r="F254" s="5">
        <v>599</v>
      </c>
      <c r="G254" s="4">
        <v>0.1</v>
      </c>
      <c r="H254" s="5">
        <f t="shared" si="0"/>
        <v>1078.2</v>
      </c>
      <c r="I254" s="7" t="e">
        <f ca="1">ROUND(_xludf.IFS(L254="Cancelled", 0, L254="Returned", -0.1*H254, C254="Electronics", 0.14*H254, C254="Appliances", 0.16*H254, C254="Fashion", 0.26*H254, C254="Home &amp; Kitchen", 0.22*H254, C254="Beauty &amp; Personal Care", 0.3*H254, C254="Sports &amp; Fitness", 0.2*H254, TRUE, 0.15*H254), 2)</f>
        <v>#NAME?</v>
      </c>
      <c r="J254" s="19" t="s">
        <v>60</v>
      </c>
      <c r="K254" s="19" t="s">
        <v>47</v>
      </c>
      <c r="L254" s="16" t="s">
        <v>24</v>
      </c>
      <c r="M254" s="19" t="s">
        <v>48</v>
      </c>
    </row>
    <row r="255" spans="1:13" ht="12.75">
      <c r="A255" s="16" t="s">
        <v>410</v>
      </c>
      <c r="B255" s="17">
        <v>45930</v>
      </c>
      <c r="C255" s="19" t="s">
        <v>6</v>
      </c>
      <c r="D255" s="19" t="s">
        <v>118</v>
      </c>
      <c r="E255" s="3">
        <v>1</v>
      </c>
      <c r="F255" s="5">
        <v>10999</v>
      </c>
      <c r="G255" s="4">
        <v>0.08</v>
      </c>
      <c r="H255" s="5">
        <f t="shared" si="0"/>
        <v>10119.08</v>
      </c>
      <c r="I255" s="7" t="e">
        <f ca="1">ROUND(_xludf.IFS(L255="Cancelled", 0, L255="Returned", -0.1*H255, C255="Electronics", 0.14*H255, C255="Appliances", 0.16*H255, C255="Fashion", 0.26*H255, C255="Home &amp; Kitchen", 0.22*H255, C255="Beauty &amp; Personal Care", 0.3*H255, C255="Sports &amp; Fitness", 0.2*H255, TRUE, 0.15*H255), 2)</f>
        <v>#NAME?</v>
      </c>
      <c r="J255" s="19" t="s">
        <v>51</v>
      </c>
      <c r="K255" s="19" t="s">
        <v>47</v>
      </c>
      <c r="L255" s="16" t="s">
        <v>24</v>
      </c>
      <c r="M255" s="19" t="s">
        <v>52</v>
      </c>
    </row>
    <row r="256" spans="1:13" ht="12.75">
      <c r="A256" s="16" t="s">
        <v>411</v>
      </c>
      <c r="B256" s="17">
        <v>45933</v>
      </c>
      <c r="C256" s="19" t="s">
        <v>4</v>
      </c>
      <c r="D256" s="19" t="s">
        <v>32</v>
      </c>
      <c r="E256" s="3">
        <v>2</v>
      </c>
      <c r="F256" s="5">
        <v>1499</v>
      </c>
      <c r="G256" s="4">
        <v>0.25</v>
      </c>
      <c r="H256" s="5">
        <f t="shared" si="0"/>
        <v>2248.5</v>
      </c>
      <c r="I256" s="7" t="e">
        <f ca="1">ROUND(_xludf.IFS(L256="Cancelled", 0, L256="Returned", -0.1*H256, C256="Electronics", 0.14*H256, C256="Appliances", 0.16*H256, C256="Fashion", 0.26*H256, C256="Home &amp; Kitchen", 0.22*H256, C256="Beauty &amp; Personal Care", 0.3*H256, C256="Sports &amp; Fitness", 0.2*H256, TRUE, 0.15*H256), 2)</f>
        <v>#NAME?</v>
      </c>
      <c r="J256" s="19" t="s">
        <v>46</v>
      </c>
      <c r="K256" s="19" t="s">
        <v>56</v>
      </c>
      <c r="L256" s="16" t="s">
        <v>24</v>
      </c>
      <c r="M256" s="19" t="s">
        <v>70</v>
      </c>
    </row>
    <row r="257" spans="1:13" ht="12.75">
      <c r="A257" s="16" t="s">
        <v>412</v>
      </c>
      <c r="B257" s="17">
        <v>45935</v>
      </c>
      <c r="C257" s="19" t="s">
        <v>3</v>
      </c>
      <c r="D257" s="19" t="s">
        <v>153</v>
      </c>
      <c r="E257" s="3">
        <v>1</v>
      </c>
      <c r="F257" s="5">
        <v>2699</v>
      </c>
      <c r="G257" s="4">
        <v>0.18</v>
      </c>
      <c r="H257" s="5">
        <f t="shared" ref="H257:H501" si="1">ROUND(E257*F257*(1-G257), 2)</f>
        <v>2213.1799999999998</v>
      </c>
      <c r="I257" s="7" t="e">
        <f ca="1">ROUND(_xludf.IFS(L257="Cancelled", 0, L257="Returned", -0.1*H257, C257="Electronics", 0.14*H257, C257="Appliances", 0.16*H257, C257="Fashion", 0.26*H257, C257="Home &amp; Kitchen", 0.22*H257, C257="Beauty &amp; Personal Care", 0.3*H257, C257="Sports &amp; Fitness", 0.2*H257, TRUE, 0.15*H257), 2)</f>
        <v>#NAME?</v>
      </c>
      <c r="J257" s="19" t="s">
        <v>46</v>
      </c>
      <c r="K257" s="19" t="s">
        <v>56</v>
      </c>
      <c r="L257" s="16" t="s">
        <v>26</v>
      </c>
      <c r="M257" s="19" t="s">
        <v>61</v>
      </c>
    </row>
    <row r="258" spans="1:13" ht="12.75">
      <c r="A258" s="16" t="s">
        <v>413</v>
      </c>
      <c r="B258" s="17">
        <v>45938</v>
      </c>
      <c r="C258" s="19" t="s">
        <v>2</v>
      </c>
      <c r="D258" s="19" t="s">
        <v>146</v>
      </c>
      <c r="E258" s="3">
        <v>2</v>
      </c>
      <c r="F258" s="5">
        <v>345</v>
      </c>
      <c r="G258" s="4">
        <v>0.15</v>
      </c>
      <c r="H258" s="5">
        <f t="shared" si="1"/>
        <v>586.5</v>
      </c>
      <c r="I258" s="7" t="e">
        <f ca="1">ROUND(_xludf.IFS(L258="Cancelled", 0, L258="Returned", -0.1*H258, C258="Electronics", 0.14*H258, C258="Appliances", 0.16*H258, C258="Fashion", 0.26*H258, C258="Home &amp; Kitchen", 0.22*H258, C258="Beauty &amp; Personal Care", 0.3*H258, C258="Sports &amp; Fitness", 0.2*H258, TRUE, 0.15*H258), 2)</f>
        <v>#NAME?</v>
      </c>
      <c r="J258" s="19" t="s">
        <v>66</v>
      </c>
      <c r="K258" s="19" t="s">
        <v>47</v>
      </c>
      <c r="L258" s="16" t="s">
        <v>24</v>
      </c>
      <c r="M258" s="19" t="s">
        <v>57</v>
      </c>
    </row>
    <row r="259" spans="1:13" ht="12.75">
      <c r="A259" s="16" t="s">
        <v>414</v>
      </c>
      <c r="B259" s="17">
        <v>45940</v>
      </c>
      <c r="C259" s="19" t="s">
        <v>7</v>
      </c>
      <c r="D259" s="19" t="s">
        <v>14</v>
      </c>
      <c r="E259" s="3">
        <v>1</v>
      </c>
      <c r="F259" s="5">
        <v>23990</v>
      </c>
      <c r="G259" s="4">
        <v>0.15</v>
      </c>
      <c r="H259" s="5">
        <f t="shared" si="1"/>
        <v>20391.5</v>
      </c>
      <c r="I259" s="7" t="e">
        <f ca="1">ROUND(_xludf.IFS(L259="Cancelled", 0, L259="Returned", -0.1*H259, C259="Electronics", 0.14*H259, C259="Appliances", 0.16*H259, C259="Fashion", 0.26*H259, C259="Home &amp; Kitchen", 0.22*H259, C259="Beauty &amp; Personal Care", 0.3*H259, C259="Sports &amp; Fitness", 0.2*H259, TRUE, 0.15*H259), 2)</f>
        <v>#NAME?</v>
      </c>
      <c r="J259" s="19" t="s">
        <v>51</v>
      </c>
      <c r="K259" s="19" t="s">
        <v>47</v>
      </c>
      <c r="L259" s="16" t="s">
        <v>24</v>
      </c>
      <c r="M259" s="19" t="s">
        <v>48</v>
      </c>
    </row>
    <row r="260" spans="1:13" ht="12.75">
      <c r="A260" s="16" t="s">
        <v>415</v>
      </c>
      <c r="B260" s="17">
        <v>45943</v>
      </c>
      <c r="C260" s="19" t="s">
        <v>5</v>
      </c>
      <c r="D260" s="19" t="s">
        <v>11</v>
      </c>
      <c r="E260" s="3">
        <v>1</v>
      </c>
      <c r="F260" s="5">
        <v>28990</v>
      </c>
      <c r="G260" s="4">
        <v>0.22</v>
      </c>
      <c r="H260" s="5">
        <f t="shared" si="1"/>
        <v>22612.2</v>
      </c>
      <c r="I260" s="7" t="e">
        <f ca="1">ROUND(_xludf.IFS(L260="Cancelled", 0, L260="Returned", -0.1*H260, C260="Electronics", 0.14*H260, C260="Appliances", 0.16*H260, C260="Fashion", 0.26*H260, C260="Home &amp; Kitchen", 0.22*H260, C260="Beauty &amp; Personal Care", 0.3*H260, C260="Sports &amp; Fitness", 0.2*H260, TRUE, 0.15*H260), 2)</f>
        <v>#NAME?</v>
      </c>
      <c r="J260" s="19" t="s">
        <v>51</v>
      </c>
      <c r="K260" s="19" t="s">
        <v>56</v>
      </c>
      <c r="L260" s="16" t="s">
        <v>24</v>
      </c>
      <c r="M260" s="19" t="s">
        <v>67</v>
      </c>
    </row>
    <row r="261" spans="1:13" ht="12.75">
      <c r="A261" s="16" t="s">
        <v>416</v>
      </c>
      <c r="B261" s="17">
        <v>45945</v>
      </c>
      <c r="C261" s="19" t="s">
        <v>6</v>
      </c>
      <c r="D261" s="19" t="s">
        <v>126</v>
      </c>
      <c r="E261" s="3">
        <v>3</v>
      </c>
      <c r="F261" s="5">
        <v>849</v>
      </c>
      <c r="G261" s="4">
        <v>0.2</v>
      </c>
      <c r="H261" s="5">
        <f t="shared" si="1"/>
        <v>2037.6</v>
      </c>
      <c r="I261" s="7" t="e">
        <f ca="1">ROUND(_xludf.IFS(L261="Cancelled", 0, L261="Returned", -0.1*H261, C261="Electronics", 0.14*H261, C261="Appliances", 0.16*H261, C261="Fashion", 0.26*H261, C261="Home &amp; Kitchen", 0.22*H261, C261="Beauty &amp; Personal Care", 0.3*H261, C261="Sports &amp; Fitness", 0.2*H261, TRUE, 0.15*H261), 2)</f>
        <v>#NAME?</v>
      </c>
      <c r="J261" s="19" t="s">
        <v>79</v>
      </c>
      <c r="K261" s="19" t="s">
        <v>47</v>
      </c>
      <c r="L261" s="16" t="s">
        <v>24</v>
      </c>
      <c r="M261" s="19" t="s">
        <v>64</v>
      </c>
    </row>
    <row r="262" spans="1:13" ht="12.75">
      <c r="A262" s="16" t="s">
        <v>417</v>
      </c>
      <c r="B262" s="17">
        <v>45948</v>
      </c>
      <c r="C262" s="19" t="s">
        <v>4</v>
      </c>
      <c r="D262" s="19" t="s">
        <v>150</v>
      </c>
      <c r="E262" s="3">
        <v>2</v>
      </c>
      <c r="F262" s="5">
        <v>1599</v>
      </c>
      <c r="G262" s="4">
        <v>0.3</v>
      </c>
      <c r="H262" s="5">
        <f t="shared" si="1"/>
        <v>2238.6</v>
      </c>
      <c r="I262" s="7" t="e">
        <f ca="1">ROUND(_xludf.IFS(L262="Cancelled", 0, L262="Returned", -0.1*H262, C262="Electronics", 0.14*H262, C262="Appliances", 0.16*H262, C262="Fashion", 0.26*H262, C262="Home &amp; Kitchen", 0.22*H262, C262="Beauty &amp; Personal Care", 0.3*H262, C262="Sports &amp; Fitness", 0.2*H262, TRUE, 0.15*H262), 2)</f>
        <v>#NAME?</v>
      </c>
      <c r="J262" s="19" t="s">
        <v>46</v>
      </c>
      <c r="K262" s="19" t="s">
        <v>47</v>
      </c>
      <c r="L262" s="16" t="s">
        <v>24</v>
      </c>
      <c r="M262" s="19" t="s">
        <v>52</v>
      </c>
    </row>
    <row r="263" spans="1:13" ht="12.75">
      <c r="A263" s="16" t="s">
        <v>418</v>
      </c>
      <c r="B263" s="17">
        <v>45950</v>
      </c>
      <c r="C263" s="19" t="s">
        <v>3</v>
      </c>
      <c r="D263" s="19" t="s">
        <v>144</v>
      </c>
      <c r="E263" s="3">
        <v>3</v>
      </c>
      <c r="F263" s="5">
        <v>349</v>
      </c>
      <c r="G263" s="4">
        <v>0.1</v>
      </c>
      <c r="H263" s="5">
        <f t="shared" si="1"/>
        <v>942.3</v>
      </c>
      <c r="I263" s="7" t="e">
        <f ca="1">ROUND(_xludf.IFS(L263="Cancelled", 0, L263="Returned", -0.1*H263, C263="Electronics", 0.14*H263, C263="Appliances", 0.16*H263, C263="Fashion", 0.26*H263, C263="Home &amp; Kitchen", 0.22*H263, C263="Beauty &amp; Personal Care", 0.3*H263, C263="Sports &amp; Fitness", 0.2*H263, TRUE, 0.15*H263), 2)</f>
        <v>#NAME?</v>
      </c>
      <c r="J263" s="19" t="s">
        <v>46</v>
      </c>
      <c r="K263" s="19" t="s">
        <v>47</v>
      </c>
      <c r="L263" s="16" t="s">
        <v>24</v>
      </c>
      <c r="M263" s="19" t="s">
        <v>109</v>
      </c>
    </row>
    <row r="264" spans="1:13" ht="12.75">
      <c r="A264" s="16" t="s">
        <v>419</v>
      </c>
      <c r="B264" s="17">
        <v>45953</v>
      </c>
      <c r="C264" s="19" t="s">
        <v>2</v>
      </c>
      <c r="D264" s="19" t="s">
        <v>155</v>
      </c>
      <c r="E264" s="3">
        <v>2</v>
      </c>
      <c r="F264" s="5">
        <v>420</v>
      </c>
      <c r="G264" s="4">
        <v>0.1</v>
      </c>
      <c r="H264" s="5">
        <f t="shared" si="1"/>
        <v>756</v>
      </c>
      <c r="I264" s="7" t="e">
        <f ca="1">ROUND(_xludf.IFS(L264="Cancelled", 0, L264="Returned", -0.1*H264, C264="Electronics", 0.14*H264, C264="Appliances", 0.16*H264, C264="Fashion", 0.26*H264, C264="Home &amp; Kitchen", 0.22*H264, C264="Beauty &amp; Personal Care", 0.3*H264, C264="Sports &amp; Fitness", 0.2*H264, TRUE, 0.15*H264), 2)</f>
        <v>#NAME?</v>
      </c>
      <c r="J264" s="19" t="s">
        <v>60</v>
      </c>
      <c r="K264" s="19" t="s">
        <v>47</v>
      </c>
      <c r="L264" s="16" t="s">
        <v>24</v>
      </c>
      <c r="M264" s="19" t="s">
        <v>73</v>
      </c>
    </row>
    <row r="265" spans="1:13" ht="12.75">
      <c r="A265" s="16" t="s">
        <v>420</v>
      </c>
      <c r="B265" s="17">
        <v>45955</v>
      </c>
      <c r="C265" s="19" t="s">
        <v>7</v>
      </c>
      <c r="D265" s="19" t="s">
        <v>18</v>
      </c>
      <c r="E265" s="3">
        <v>1</v>
      </c>
      <c r="F265" s="5">
        <v>24490</v>
      </c>
      <c r="G265" s="4">
        <v>0.12</v>
      </c>
      <c r="H265" s="5">
        <f t="shared" si="1"/>
        <v>21551.200000000001</v>
      </c>
      <c r="I265" s="7" t="e">
        <f ca="1">ROUND(_xludf.IFS(L265="Cancelled", 0, L265="Returned", -0.1*H265, C265="Electronics", 0.14*H265, C265="Appliances", 0.16*H265, C265="Fashion", 0.26*H265, C265="Home &amp; Kitchen", 0.22*H265, C265="Beauty &amp; Personal Care", 0.3*H265, C265="Sports &amp; Fitness", 0.2*H265, TRUE, 0.15*H265), 2)</f>
        <v>#NAME?</v>
      </c>
      <c r="J265" s="19" t="s">
        <v>51</v>
      </c>
      <c r="K265" s="19" t="s">
        <v>47</v>
      </c>
      <c r="L265" s="16" t="s">
        <v>24</v>
      </c>
      <c r="M265" s="19" t="s">
        <v>48</v>
      </c>
    </row>
    <row r="266" spans="1:13" ht="12.75">
      <c r="A266" s="16" t="s">
        <v>421</v>
      </c>
      <c r="B266" s="17">
        <v>45958</v>
      </c>
      <c r="C266" s="19" t="s">
        <v>5</v>
      </c>
      <c r="D266" s="19" t="s">
        <v>69</v>
      </c>
      <c r="E266" s="3">
        <v>2</v>
      </c>
      <c r="F266" s="5">
        <v>499</v>
      </c>
      <c r="G266" s="4">
        <v>0.1</v>
      </c>
      <c r="H266" s="5">
        <f t="shared" si="1"/>
        <v>898.2</v>
      </c>
      <c r="I266" s="7" t="e">
        <f ca="1">ROUND(_xludf.IFS(L266="Cancelled", 0, L266="Returned", -0.1*H266, C266="Electronics", 0.14*H266, C266="Appliances", 0.16*H266, C266="Fashion", 0.26*H266, C266="Home &amp; Kitchen", 0.22*H266, C266="Beauty &amp; Personal Care", 0.3*H266, C266="Sports &amp; Fitness", 0.2*H266, TRUE, 0.15*H266), 2)</f>
        <v>#NAME?</v>
      </c>
      <c r="J266" s="19" t="s">
        <v>46</v>
      </c>
      <c r="K266" s="19" t="s">
        <v>56</v>
      </c>
      <c r="L266" s="16" t="s">
        <v>24</v>
      </c>
      <c r="M266" s="19" t="s">
        <v>90</v>
      </c>
    </row>
    <row r="267" spans="1:13" ht="12.75">
      <c r="A267" s="16" t="s">
        <v>422</v>
      </c>
      <c r="B267" s="17">
        <v>45960</v>
      </c>
      <c r="C267" s="19" t="s">
        <v>6</v>
      </c>
      <c r="D267" s="19" t="s">
        <v>134</v>
      </c>
      <c r="E267" s="3">
        <v>1</v>
      </c>
      <c r="F267" s="5">
        <v>2299</v>
      </c>
      <c r="G267" s="4">
        <v>0.12</v>
      </c>
      <c r="H267" s="5">
        <f t="shared" si="1"/>
        <v>2023.12</v>
      </c>
      <c r="I267" s="7" t="e">
        <f ca="1">ROUND(_xludf.IFS(L267="Cancelled", 0, L267="Returned", -0.1*H267, C267="Electronics", 0.14*H267, C267="Appliances", 0.16*H267, C267="Fashion", 0.26*H267, C267="Home &amp; Kitchen", 0.22*H267, C267="Beauty &amp; Personal Care", 0.3*H267, C267="Sports &amp; Fitness", 0.2*H267, TRUE, 0.15*H267), 2)</f>
        <v>#NAME?</v>
      </c>
      <c r="J267" s="19" t="s">
        <v>46</v>
      </c>
      <c r="K267" s="19" t="s">
        <v>56</v>
      </c>
      <c r="L267" s="16" t="s">
        <v>26</v>
      </c>
      <c r="M267" s="19" t="s">
        <v>64</v>
      </c>
    </row>
    <row r="268" spans="1:13" ht="12.75">
      <c r="A268" s="16" t="s">
        <v>423</v>
      </c>
      <c r="B268" s="17">
        <v>45963</v>
      </c>
      <c r="C268" s="19" t="s">
        <v>4</v>
      </c>
      <c r="D268" s="19" t="s">
        <v>159</v>
      </c>
      <c r="E268" s="3">
        <v>2</v>
      </c>
      <c r="F268" s="5">
        <v>1299</v>
      </c>
      <c r="G268" s="4">
        <v>0.2</v>
      </c>
      <c r="H268" s="5">
        <f t="shared" si="1"/>
        <v>2078.4</v>
      </c>
      <c r="I268" s="7" t="e">
        <f ca="1">ROUND(_xludf.IFS(L268="Cancelled", 0, L268="Returned", -0.1*H268, C268="Electronics", 0.14*H268, C268="Appliances", 0.16*H268, C268="Fashion", 0.26*H268, C268="Home &amp; Kitchen", 0.22*H268, C268="Beauty &amp; Personal Care", 0.3*H268, C268="Sports &amp; Fitness", 0.2*H268, TRUE, 0.15*H268), 2)</f>
        <v>#NAME?</v>
      </c>
      <c r="J268" s="19" t="s">
        <v>46</v>
      </c>
      <c r="K268" s="19" t="s">
        <v>47</v>
      </c>
      <c r="L268" s="16" t="s">
        <v>24</v>
      </c>
      <c r="M268" s="19" t="s">
        <v>52</v>
      </c>
    </row>
    <row r="269" spans="1:13" ht="12.75">
      <c r="A269" s="16" t="s">
        <v>424</v>
      </c>
      <c r="B269" s="17">
        <v>45965</v>
      </c>
      <c r="C269" s="19" t="s">
        <v>3</v>
      </c>
      <c r="D269" s="19" t="s">
        <v>161</v>
      </c>
      <c r="E269" s="3">
        <v>1</v>
      </c>
      <c r="F269" s="5">
        <v>2150</v>
      </c>
      <c r="G269" s="4">
        <v>0.12</v>
      </c>
      <c r="H269" s="5">
        <f t="shared" si="1"/>
        <v>1892</v>
      </c>
      <c r="I269" s="7" t="e">
        <f ca="1">ROUND(_xludf.IFS(L269="Cancelled", 0, L269="Returned", -0.1*H269, C269="Electronics", 0.14*H269, C269="Appliances", 0.16*H269, C269="Fashion", 0.26*H269, C269="Home &amp; Kitchen", 0.22*H269, C269="Beauty &amp; Personal Care", 0.3*H269, C269="Sports &amp; Fitness", 0.2*H269, TRUE, 0.15*H269), 2)</f>
        <v>#NAME?</v>
      </c>
      <c r="J269" s="19" t="s">
        <v>55</v>
      </c>
      <c r="K269" s="19" t="s">
        <v>47</v>
      </c>
      <c r="L269" s="16" t="s">
        <v>24</v>
      </c>
      <c r="M269" s="19" t="s">
        <v>57</v>
      </c>
    </row>
    <row r="270" spans="1:13" ht="12.75">
      <c r="A270" s="16" t="s">
        <v>425</v>
      </c>
      <c r="B270" s="17">
        <v>45968</v>
      </c>
      <c r="C270" s="19" t="s">
        <v>2</v>
      </c>
      <c r="D270" s="19" t="s">
        <v>163</v>
      </c>
      <c r="E270" s="3">
        <v>3</v>
      </c>
      <c r="F270" s="5">
        <v>445</v>
      </c>
      <c r="G270" s="4">
        <v>0.08</v>
      </c>
      <c r="H270" s="5">
        <f t="shared" si="1"/>
        <v>1228.2</v>
      </c>
      <c r="I270" s="7" t="e">
        <f ca="1">ROUND(_xludf.IFS(L270="Cancelled", 0, L270="Returned", -0.1*H270, C270="Electronics", 0.14*H270, C270="Appliances", 0.16*H270, C270="Fashion", 0.26*H270, C270="Home &amp; Kitchen", 0.22*H270, C270="Beauty &amp; Personal Care", 0.3*H270, C270="Sports &amp; Fitness", 0.2*H270, TRUE, 0.15*H270), 2)</f>
        <v>#NAME?</v>
      </c>
      <c r="J270" s="19" t="s">
        <v>60</v>
      </c>
      <c r="K270" s="19" t="s">
        <v>47</v>
      </c>
      <c r="L270" s="16" t="s">
        <v>24</v>
      </c>
      <c r="M270" s="19" t="s">
        <v>48</v>
      </c>
    </row>
    <row r="271" spans="1:13" ht="12.75">
      <c r="A271" s="16" t="s">
        <v>426</v>
      </c>
      <c r="B271" s="17">
        <v>45970</v>
      </c>
      <c r="C271" s="19" t="s">
        <v>7</v>
      </c>
      <c r="D271" s="19" t="s">
        <v>187</v>
      </c>
      <c r="E271" s="3">
        <v>1</v>
      </c>
      <c r="F271" s="5">
        <v>14990</v>
      </c>
      <c r="G271" s="4">
        <v>0.14000000000000001</v>
      </c>
      <c r="H271" s="5">
        <f t="shared" si="1"/>
        <v>12891.4</v>
      </c>
      <c r="I271" s="7" t="e">
        <f ca="1">ROUND(_xludf.IFS(L271="Cancelled", 0, L271="Returned", -0.1*H271, C271="Electronics", 0.14*H271, C271="Appliances", 0.16*H271, C271="Fashion", 0.26*H271, C271="Home &amp; Kitchen", 0.22*H271, C271="Beauty &amp; Personal Care", 0.3*H271, C271="Sports &amp; Fitness", 0.2*H271, TRUE, 0.15*H271), 2)</f>
        <v>#NAME?</v>
      </c>
      <c r="J271" s="19" t="s">
        <v>51</v>
      </c>
      <c r="K271" s="19" t="s">
        <v>47</v>
      </c>
      <c r="L271" s="16" t="s">
        <v>24</v>
      </c>
      <c r="M271" s="19" t="s">
        <v>67</v>
      </c>
    </row>
    <row r="272" spans="1:13" ht="12.75">
      <c r="A272" s="16" t="s">
        <v>427</v>
      </c>
      <c r="B272" s="17">
        <v>45973</v>
      </c>
      <c r="C272" s="19" t="s">
        <v>5</v>
      </c>
      <c r="D272" s="19" t="s">
        <v>166</v>
      </c>
      <c r="E272" s="3">
        <v>4</v>
      </c>
      <c r="F272" s="5">
        <v>399</v>
      </c>
      <c r="G272" s="4">
        <v>0.05</v>
      </c>
      <c r="H272" s="5">
        <f t="shared" si="1"/>
        <v>1516.2</v>
      </c>
      <c r="I272" s="7" t="e">
        <f ca="1">ROUND(_xludf.IFS(L272="Cancelled", 0, L272="Returned", -0.1*H272, C272="Electronics", 0.14*H272, C272="Appliances", 0.16*H272, C272="Fashion", 0.26*H272, C272="Home &amp; Kitchen", 0.22*H272, C272="Beauty &amp; Personal Care", 0.3*H272, C272="Sports &amp; Fitness", 0.2*H272, TRUE, 0.15*H272), 2)</f>
        <v>#NAME?</v>
      </c>
      <c r="J272" s="19" t="s">
        <v>60</v>
      </c>
      <c r="K272" s="19" t="s">
        <v>56</v>
      </c>
      <c r="L272" s="16" t="s">
        <v>24</v>
      </c>
      <c r="M272" s="19" t="s">
        <v>64</v>
      </c>
    </row>
    <row r="273" spans="1:13" ht="12.75">
      <c r="A273" s="16" t="s">
        <v>428</v>
      </c>
      <c r="B273" s="17">
        <v>45975</v>
      </c>
      <c r="C273" s="19" t="s">
        <v>6</v>
      </c>
      <c r="D273" s="19" t="s">
        <v>16</v>
      </c>
      <c r="E273" s="3">
        <v>1</v>
      </c>
      <c r="F273" s="5">
        <v>24999</v>
      </c>
      <c r="G273" s="4">
        <v>0.2</v>
      </c>
      <c r="H273" s="5">
        <f t="shared" si="1"/>
        <v>19999.2</v>
      </c>
      <c r="I273" s="7" t="e">
        <f ca="1">ROUND(_xludf.IFS(L273="Cancelled", 0, L273="Returned", -0.1*H273, C273="Electronics", 0.14*H273, C273="Appliances", 0.16*H273, C273="Fashion", 0.26*H273, C273="Home &amp; Kitchen", 0.22*H273, C273="Beauty &amp; Personal Care", 0.3*H273, C273="Sports &amp; Fitness", 0.2*H273, TRUE, 0.15*H273), 2)</f>
        <v>#NAME?</v>
      </c>
      <c r="J273" s="19" t="s">
        <v>51</v>
      </c>
      <c r="K273" s="19" t="s">
        <v>47</v>
      </c>
      <c r="L273" s="16" t="s">
        <v>24</v>
      </c>
      <c r="M273" s="19" t="s">
        <v>48</v>
      </c>
    </row>
    <row r="274" spans="1:13" ht="12.75">
      <c r="A274" s="16" t="s">
        <v>429</v>
      </c>
      <c r="B274" s="17">
        <v>45978</v>
      </c>
      <c r="C274" s="19" t="s">
        <v>4</v>
      </c>
      <c r="D274" s="19" t="s">
        <v>170</v>
      </c>
      <c r="E274" s="3">
        <v>1</v>
      </c>
      <c r="F274" s="5">
        <v>899</v>
      </c>
      <c r="G274" s="4">
        <v>0.25</v>
      </c>
      <c r="H274" s="5">
        <f t="shared" si="1"/>
        <v>674.25</v>
      </c>
      <c r="I274" s="7" t="e">
        <f ca="1">ROUND(_xludf.IFS(L274="Cancelled", 0, L274="Returned", -0.1*H274, C274="Electronics", 0.14*H274, C274="Appliances", 0.16*H274, C274="Fashion", 0.26*H274, C274="Home &amp; Kitchen", 0.22*H274, C274="Beauty &amp; Personal Care", 0.3*H274, C274="Sports &amp; Fitness", 0.2*H274, TRUE, 0.15*H274), 2)</f>
        <v>#NAME?</v>
      </c>
      <c r="J274" s="19" t="s">
        <v>46</v>
      </c>
      <c r="K274" s="19" t="s">
        <v>47</v>
      </c>
      <c r="L274" s="16" t="s">
        <v>24</v>
      </c>
      <c r="M274" s="19" t="s">
        <v>52</v>
      </c>
    </row>
    <row r="275" spans="1:13" ht="12.75">
      <c r="A275" s="16" t="s">
        <v>430</v>
      </c>
      <c r="B275" s="17">
        <v>45980</v>
      </c>
      <c r="C275" s="19" t="s">
        <v>3</v>
      </c>
      <c r="D275" s="19" t="s">
        <v>172</v>
      </c>
      <c r="E275" s="3">
        <v>1</v>
      </c>
      <c r="F275" s="5">
        <v>2199</v>
      </c>
      <c r="G275" s="4">
        <v>0.18</v>
      </c>
      <c r="H275" s="5">
        <f t="shared" si="1"/>
        <v>1803.18</v>
      </c>
      <c r="I275" s="7" t="e">
        <f ca="1">ROUND(_xludf.IFS(L275="Cancelled", 0, L275="Returned", -0.1*H275, C275="Electronics", 0.14*H275, C275="Appliances", 0.16*H275, C275="Fashion", 0.26*H275, C275="Home &amp; Kitchen", 0.22*H275, C275="Beauty &amp; Personal Care", 0.3*H275, C275="Sports &amp; Fitness", 0.2*H275, TRUE, 0.15*H275), 2)</f>
        <v>#NAME?</v>
      </c>
      <c r="J275" s="19" t="s">
        <v>55</v>
      </c>
      <c r="K275" s="19" t="s">
        <v>56</v>
      </c>
      <c r="L275" s="16" t="s">
        <v>24</v>
      </c>
      <c r="M275" s="19" t="s">
        <v>73</v>
      </c>
    </row>
    <row r="276" spans="1:13" ht="12.75">
      <c r="A276" s="16" t="s">
        <v>431</v>
      </c>
      <c r="B276" s="17">
        <v>45983</v>
      </c>
      <c r="C276" s="19" t="s">
        <v>2</v>
      </c>
      <c r="D276" s="19" t="s">
        <v>174</v>
      </c>
      <c r="E276" s="3">
        <v>3</v>
      </c>
      <c r="F276" s="5">
        <v>260</v>
      </c>
      <c r="G276" s="4">
        <v>0.1</v>
      </c>
      <c r="H276" s="5">
        <f t="shared" si="1"/>
        <v>702</v>
      </c>
      <c r="I276" s="7" t="e">
        <f ca="1">ROUND(_xludf.IFS(L276="Cancelled", 0, L276="Returned", -0.1*H276, C276="Electronics", 0.14*H276, C276="Appliances", 0.16*H276, C276="Fashion", 0.26*H276, C276="Home &amp; Kitchen", 0.22*H276, C276="Beauty &amp; Personal Care", 0.3*H276, C276="Sports &amp; Fitness", 0.2*H276, TRUE, 0.15*H276), 2)</f>
        <v>#NAME?</v>
      </c>
      <c r="J276" s="19" t="s">
        <v>60</v>
      </c>
      <c r="K276" s="19" t="s">
        <v>47</v>
      </c>
      <c r="L276" s="16" t="s">
        <v>24</v>
      </c>
      <c r="M276" s="19" t="s">
        <v>61</v>
      </c>
    </row>
    <row r="277" spans="1:13" ht="12.75">
      <c r="A277" s="16" t="s">
        <v>432</v>
      </c>
      <c r="B277" s="17">
        <v>45985</v>
      </c>
      <c r="C277" s="19" t="s">
        <v>7</v>
      </c>
      <c r="D277" s="19" t="s">
        <v>198</v>
      </c>
      <c r="E277" s="3">
        <v>1</v>
      </c>
      <c r="F277" s="5">
        <v>3299</v>
      </c>
      <c r="G277" s="4">
        <v>0.15</v>
      </c>
      <c r="H277" s="5">
        <f t="shared" si="1"/>
        <v>2804.15</v>
      </c>
      <c r="I277" s="7" t="e">
        <f ca="1">ROUND(_xludf.IFS(L277="Cancelled", 0, L277="Returned", -0.1*H277, C277="Electronics", 0.14*H277, C277="Appliances", 0.16*H277, C277="Fashion", 0.26*H277, C277="Home &amp; Kitchen", 0.22*H277, C277="Beauty &amp; Personal Care", 0.3*H277, C277="Sports &amp; Fitness", 0.2*H277, TRUE, 0.15*H277), 2)</f>
        <v>#NAME?</v>
      </c>
      <c r="J277" s="19" t="s">
        <v>51</v>
      </c>
      <c r="K277" s="19" t="s">
        <v>47</v>
      </c>
      <c r="L277" s="16" t="s">
        <v>24</v>
      </c>
      <c r="M277" s="19" t="s">
        <v>64</v>
      </c>
    </row>
    <row r="278" spans="1:13" ht="12.75">
      <c r="A278" s="16" t="s">
        <v>433</v>
      </c>
      <c r="B278" s="17">
        <v>45988</v>
      </c>
      <c r="C278" s="19" t="s">
        <v>5</v>
      </c>
      <c r="D278" s="19" t="s">
        <v>177</v>
      </c>
      <c r="E278" s="3">
        <v>2</v>
      </c>
      <c r="F278" s="5">
        <v>299</v>
      </c>
      <c r="G278" s="4">
        <v>0.1</v>
      </c>
      <c r="H278" s="5">
        <f t="shared" si="1"/>
        <v>538.20000000000005</v>
      </c>
      <c r="I278" s="7" t="e">
        <f ca="1">ROUND(_xludf.IFS(L278="Cancelled", 0, L278="Returned", -0.1*H278, C278="Electronics", 0.14*H278, C278="Appliances", 0.16*H278, C278="Fashion", 0.26*H278, C278="Home &amp; Kitchen", 0.22*H278, C278="Beauty &amp; Personal Care", 0.3*H278, C278="Sports &amp; Fitness", 0.2*H278, TRUE, 0.15*H278), 2)</f>
        <v>#NAME?</v>
      </c>
      <c r="J278" s="19" t="s">
        <v>46</v>
      </c>
      <c r="K278" s="19" t="s">
        <v>56</v>
      </c>
      <c r="L278" s="16" t="s">
        <v>24</v>
      </c>
      <c r="M278" s="19" t="s">
        <v>70</v>
      </c>
    </row>
    <row r="279" spans="1:13" ht="12.75">
      <c r="A279" s="16" t="s">
        <v>434</v>
      </c>
      <c r="B279" s="17">
        <v>45990</v>
      </c>
      <c r="C279" s="19" t="s">
        <v>6</v>
      </c>
      <c r="D279" s="19" t="s">
        <v>20</v>
      </c>
      <c r="E279" s="3">
        <v>1</v>
      </c>
      <c r="F279" s="5">
        <v>29990</v>
      </c>
      <c r="G279" s="4">
        <v>0.1</v>
      </c>
      <c r="H279" s="5">
        <f t="shared" si="1"/>
        <v>26991</v>
      </c>
      <c r="I279" s="7" t="e">
        <f ca="1">ROUND(_xludf.IFS(L279="Cancelled", 0, L279="Returned", -0.1*H279, C279="Electronics", 0.14*H279, C279="Appliances", 0.16*H279, C279="Fashion", 0.26*H279, C279="Home &amp; Kitchen", 0.22*H279, C279="Beauty &amp; Personal Care", 0.3*H279, C279="Sports &amp; Fitness", 0.2*H279, TRUE, 0.15*H279), 2)</f>
        <v>#NAME?</v>
      </c>
      <c r="J279" s="19" t="s">
        <v>51</v>
      </c>
      <c r="K279" s="19" t="s">
        <v>47</v>
      </c>
      <c r="L279" s="16" t="s">
        <v>24</v>
      </c>
      <c r="M279" s="19" t="s">
        <v>57</v>
      </c>
    </row>
    <row r="280" spans="1:13" ht="12.75">
      <c r="A280" s="16" t="s">
        <v>435</v>
      </c>
      <c r="B280" s="17">
        <v>45993</v>
      </c>
      <c r="C280" s="19" t="s">
        <v>4</v>
      </c>
      <c r="D280" s="19" t="s">
        <v>181</v>
      </c>
      <c r="E280" s="3">
        <v>2</v>
      </c>
      <c r="F280" s="5">
        <v>999</v>
      </c>
      <c r="G280" s="4">
        <v>0.2</v>
      </c>
      <c r="H280" s="5">
        <f t="shared" si="1"/>
        <v>1598.4</v>
      </c>
      <c r="I280" s="7" t="e">
        <f ca="1">ROUND(_xludf.IFS(L280="Cancelled", 0, L280="Returned", -0.1*H280, C280="Electronics", 0.14*H280, C280="Appliances", 0.16*H280, C280="Fashion", 0.26*H280, C280="Home &amp; Kitchen", 0.22*H280, C280="Beauty &amp; Personal Care", 0.3*H280, C280="Sports &amp; Fitness", 0.2*H280, TRUE, 0.15*H280), 2)</f>
        <v>#NAME?</v>
      </c>
      <c r="J280" s="19" t="s">
        <v>46</v>
      </c>
      <c r="K280" s="19" t="s">
        <v>47</v>
      </c>
      <c r="L280" s="16" t="s">
        <v>24</v>
      </c>
      <c r="M280" s="19" t="s">
        <v>48</v>
      </c>
    </row>
    <row r="281" spans="1:13" ht="12.75">
      <c r="A281" s="16" t="s">
        <v>436</v>
      </c>
      <c r="B281" s="17">
        <v>45995</v>
      </c>
      <c r="C281" s="19" t="s">
        <v>3</v>
      </c>
      <c r="D281" s="19" t="s">
        <v>183</v>
      </c>
      <c r="E281" s="3">
        <v>3</v>
      </c>
      <c r="F281" s="5">
        <v>299</v>
      </c>
      <c r="G281" s="4">
        <v>0.15</v>
      </c>
      <c r="H281" s="5">
        <f t="shared" si="1"/>
        <v>762.45</v>
      </c>
      <c r="I281" s="7" t="e">
        <f ca="1">ROUND(_xludf.IFS(L281="Cancelled", 0, L281="Returned", -0.1*H281, C281="Electronics", 0.14*H281, C281="Appliances", 0.16*H281, C281="Fashion", 0.26*H281, C281="Home &amp; Kitchen", 0.22*H281, C281="Beauty &amp; Personal Care", 0.3*H281, C281="Sports &amp; Fitness", 0.2*H281, TRUE, 0.15*H281), 2)</f>
        <v>#NAME?</v>
      </c>
      <c r="J281" s="19" t="s">
        <v>60</v>
      </c>
      <c r="K281" s="19" t="s">
        <v>47</v>
      </c>
      <c r="L281" s="16" t="s">
        <v>24</v>
      </c>
      <c r="M281" s="19" t="s">
        <v>67</v>
      </c>
    </row>
    <row r="282" spans="1:13" ht="12.75">
      <c r="A282" s="16" t="s">
        <v>437</v>
      </c>
      <c r="B282" s="17">
        <v>45998</v>
      </c>
      <c r="C282" s="19" t="s">
        <v>2</v>
      </c>
      <c r="D282" s="19" t="s">
        <v>185</v>
      </c>
      <c r="E282" s="3">
        <v>1</v>
      </c>
      <c r="F282" s="5">
        <v>480</v>
      </c>
      <c r="G282" s="4">
        <v>0.05</v>
      </c>
      <c r="H282" s="5">
        <f t="shared" si="1"/>
        <v>456</v>
      </c>
      <c r="I282" s="7" t="e">
        <f ca="1">ROUND(_xludf.IFS(L282="Cancelled", 0, L282="Returned", -0.1*H282, C282="Electronics", 0.14*H282, C282="Appliances", 0.16*H282, C282="Fashion", 0.26*H282, C282="Home &amp; Kitchen", 0.22*H282, C282="Beauty &amp; Personal Care", 0.3*H282, C282="Sports &amp; Fitness", 0.2*H282, TRUE, 0.15*H282), 2)</f>
        <v>#NAME?</v>
      </c>
      <c r="J282" s="19" t="s">
        <v>55</v>
      </c>
      <c r="K282" s="19" t="s">
        <v>47</v>
      </c>
      <c r="L282" s="16" t="s">
        <v>24</v>
      </c>
      <c r="M282" s="19" t="s">
        <v>52</v>
      </c>
    </row>
    <row r="283" spans="1:13" ht="12.75">
      <c r="A283" s="16" t="s">
        <v>438</v>
      </c>
      <c r="B283" s="17">
        <v>46000</v>
      </c>
      <c r="C283" s="19" t="s">
        <v>7</v>
      </c>
      <c r="D283" s="19" t="s">
        <v>209</v>
      </c>
      <c r="E283" s="3">
        <v>1</v>
      </c>
      <c r="F283" s="5">
        <v>5699</v>
      </c>
      <c r="G283" s="4">
        <v>0.18</v>
      </c>
      <c r="H283" s="5">
        <f t="shared" si="1"/>
        <v>4673.18</v>
      </c>
      <c r="I283" s="7" t="e">
        <f ca="1">ROUND(_xludf.IFS(L283="Cancelled", 0, L283="Returned", -0.1*H283, C283="Electronics", 0.14*H283, C283="Appliances", 0.16*H283, C283="Fashion", 0.26*H283, C283="Home &amp; Kitchen", 0.22*H283, C283="Beauty &amp; Personal Care", 0.3*H283, C283="Sports &amp; Fitness", 0.2*H283, TRUE, 0.15*H283), 2)</f>
        <v>#NAME?</v>
      </c>
      <c r="J283" s="19" t="s">
        <v>55</v>
      </c>
      <c r="K283" s="19" t="s">
        <v>47</v>
      </c>
      <c r="L283" s="16" t="s">
        <v>24</v>
      </c>
      <c r="M283" s="19" t="s">
        <v>76</v>
      </c>
    </row>
    <row r="284" spans="1:13" ht="12.75">
      <c r="A284" s="16" t="s">
        <v>439</v>
      </c>
      <c r="B284" s="17">
        <v>46003</v>
      </c>
      <c r="C284" s="19" t="s">
        <v>5</v>
      </c>
      <c r="D284" s="19" t="s">
        <v>189</v>
      </c>
      <c r="E284" s="3">
        <v>1</v>
      </c>
      <c r="F284" s="5">
        <v>8999</v>
      </c>
      <c r="G284" s="4">
        <v>0.2</v>
      </c>
      <c r="H284" s="5">
        <f t="shared" si="1"/>
        <v>7199.2</v>
      </c>
      <c r="I284" s="7" t="e">
        <f ca="1">ROUND(_xludf.IFS(L284="Cancelled", 0, L284="Returned", -0.1*H284, C284="Electronics", 0.14*H284, C284="Appliances", 0.16*H284, C284="Fashion", 0.26*H284, C284="Home &amp; Kitchen", 0.22*H284, C284="Beauty &amp; Personal Care", 0.3*H284, C284="Sports &amp; Fitness", 0.2*H284, TRUE, 0.15*H284), 2)</f>
        <v>#NAME?</v>
      </c>
      <c r="J284" s="19" t="s">
        <v>79</v>
      </c>
      <c r="K284" s="19" t="s">
        <v>56</v>
      </c>
      <c r="L284" s="16" t="s">
        <v>24</v>
      </c>
      <c r="M284" s="19" t="s">
        <v>48</v>
      </c>
    </row>
    <row r="285" spans="1:13" ht="12.75">
      <c r="A285" s="16" t="s">
        <v>440</v>
      </c>
      <c r="B285" s="17">
        <v>46005</v>
      </c>
      <c r="C285" s="19" t="s">
        <v>6</v>
      </c>
      <c r="D285" s="19" t="s">
        <v>157</v>
      </c>
      <c r="E285" s="3">
        <v>1</v>
      </c>
      <c r="F285" s="5">
        <v>3199</v>
      </c>
      <c r="G285" s="4">
        <v>0.14000000000000001</v>
      </c>
      <c r="H285" s="5">
        <f t="shared" si="1"/>
        <v>2751.14</v>
      </c>
      <c r="I285" s="7" t="e">
        <f ca="1">ROUND(_xludf.IFS(L285="Cancelled", 0, L285="Returned", -0.1*H285, C285="Electronics", 0.14*H285, C285="Appliances", 0.16*H285, C285="Fashion", 0.26*H285, C285="Home &amp; Kitchen", 0.22*H285, C285="Beauty &amp; Personal Care", 0.3*H285, C285="Sports &amp; Fitness", 0.2*H285, TRUE, 0.15*H285), 2)</f>
        <v>#NAME?</v>
      </c>
      <c r="J285" s="19" t="s">
        <v>66</v>
      </c>
      <c r="K285" s="19" t="s">
        <v>47</v>
      </c>
      <c r="L285" s="16" t="s">
        <v>24</v>
      </c>
      <c r="M285" s="19" t="s">
        <v>64</v>
      </c>
    </row>
    <row r="286" spans="1:13" ht="12.75">
      <c r="A286" s="16" t="s">
        <v>441</v>
      </c>
      <c r="B286" s="17">
        <v>46008</v>
      </c>
      <c r="C286" s="19" t="s">
        <v>4</v>
      </c>
      <c r="D286" s="19" t="s">
        <v>30</v>
      </c>
      <c r="E286" s="3">
        <v>1</v>
      </c>
      <c r="F286" s="5">
        <v>1595</v>
      </c>
      <c r="G286" s="4">
        <v>0.15</v>
      </c>
      <c r="H286" s="5">
        <f t="shared" si="1"/>
        <v>1355.75</v>
      </c>
      <c r="I286" s="7" t="e">
        <f ca="1">ROUND(_xludf.IFS(L286="Cancelled", 0, L286="Returned", -0.1*H286, C286="Electronics", 0.14*H286, C286="Appliances", 0.16*H286, C286="Fashion", 0.26*H286, C286="Home &amp; Kitchen", 0.22*H286, C286="Beauty &amp; Personal Care", 0.3*H286, C286="Sports &amp; Fitness", 0.2*H286, TRUE, 0.15*H286), 2)</f>
        <v>#NAME?</v>
      </c>
      <c r="J286" s="19" t="s">
        <v>51</v>
      </c>
      <c r="K286" s="19" t="s">
        <v>56</v>
      </c>
      <c r="L286" s="16" t="s">
        <v>23</v>
      </c>
      <c r="M286" s="19" t="s">
        <v>57</v>
      </c>
    </row>
    <row r="287" spans="1:13" ht="12.75">
      <c r="A287" s="16" t="s">
        <v>442</v>
      </c>
      <c r="B287" s="17">
        <v>46010</v>
      </c>
      <c r="C287" s="19" t="s">
        <v>3</v>
      </c>
      <c r="D287" s="19" t="s">
        <v>194</v>
      </c>
      <c r="E287" s="3">
        <v>1</v>
      </c>
      <c r="F287" s="5">
        <v>3199</v>
      </c>
      <c r="G287" s="4">
        <v>0.12</v>
      </c>
      <c r="H287" s="5">
        <f t="shared" si="1"/>
        <v>2815.12</v>
      </c>
      <c r="I287" s="7" t="e">
        <f ca="1">ROUND(_xludf.IFS(L287="Cancelled", 0, L287="Returned", -0.1*H287, C287="Electronics", 0.14*H287, C287="Appliances", 0.16*H287, C287="Fashion", 0.26*H287, C287="Home &amp; Kitchen", 0.22*H287, C287="Beauty &amp; Personal Care", 0.3*H287, C287="Sports &amp; Fitness", 0.2*H287, TRUE, 0.15*H287), 2)</f>
        <v>#NAME?</v>
      </c>
      <c r="J287" s="19" t="s">
        <v>46</v>
      </c>
      <c r="K287" s="19" t="s">
        <v>47</v>
      </c>
      <c r="L287" s="16" t="s">
        <v>24</v>
      </c>
      <c r="M287" s="19" t="s">
        <v>52</v>
      </c>
    </row>
    <row r="288" spans="1:13" ht="12.75">
      <c r="A288" s="16" t="s">
        <v>443</v>
      </c>
      <c r="B288" s="17">
        <v>46013</v>
      </c>
      <c r="C288" s="19" t="s">
        <v>2</v>
      </c>
      <c r="D288" s="19" t="s">
        <v>196</v>
      </c>
      <c r="E288" s="3">
        <v>2</v>
      </c>
      <c r="F288" s="5">
        <v>599</v>
      </c>
      <c r="G288" s="4">
        <v>0.1</v>
      </c>
      <c r="H288" s="5">
        <f t="shared" si="1"/>
        <v>1078.2</v>
      </c>
      <c r="I288" s="7" t="e">
        <f ca="1">ROUND(_xludf.IFS(L288="Cancelled", 0, L288="Returned", -0.1*H288, C288="Electronics", 0.14*H288, C288="Appliances", 0.16*H288, C288="Fashion", 0.26*H288, C288="Home &amp; Kitchen", 0.22*H288, C288="Beauty &amp; Personal Care", 0.3*H288, C288="Sports &amp; Fitness", 0.2*H288, TRUE, 0.15*H288), 2)</f>
        <v>#NAME?</v>
      </c>
      <c r="J288" s="19" t="s">
        <v>60</v>
      </c>
      <c r="K288" s="19" t="s">
        <v>47</v>
      </c>
      <c r="L288" s="16" t="s">
        <v>24</v>
      </c>
      <c r="M288" s="19" t="s">
        <v>80</v>
      </c>
    </row>
    <row r="289" spans="1:13" ht="12.75">
      <c r="A289" s="16" t="s">
        <v>444</v>
      </c>
      <c r="B289" s="17">
        <v>46015</v>
      </c>
      <c r="C289" s="19" t="s">
        <v>7</v>
      </c>
      <c r="D289" s="19" t="s">
        <v>221</v>
      </c>
      <c r="E289" s="3">
        <v>2</v>
      </c>
      <c r="F289" s="5">
        <v>1499</v>
      </c>
      <c r="G289" s="4">
        <v>0.12</v>
      </c>
      <c r="H289" s="5">
        <f t="shared" si="1"/>
        <v>2638.24</v>
      </c>
      <c r="I289" s="7" t="e">
        <f ca="1">ROUND(_xludf.IFS(L289="Cancelled", 0, L289="Returned", -0.1*H289, C289="Electronics", 0.14*H289, C289="Appliances", 0.16*H289, C289="Fashion", 0.26*H289, C289="Home &amp; Kitchen", 0.22*H289, C289="Beauty &amp; Personal Care", 0.3*H289, C289="Sports &amp; Fitness", 0.2*H289, TRUE, 0.15*H289), 2)</f>
        <v>#NAME?</v>
      </c>
      <c r="J289" s="19" t="s">
        <v>51</v>
      </c>
      <c r="K289" s="19" t="s">
        <v>47</v>
      </c>
      <c r="L289" s="16" t="s">
        <v>24</v>
      </c>
      <c r="M289" s="19" t="s">
        <v>48</v>
      </c>
    </row>
    <row r="290" spans="1:13" ht="12.75">
      <c r="A290" s="16" t="s">
        <v>445</v>
      </c>
      <c r="B290" s="17">
        <v>46018</v>
      </c>
      <c r="C290" s="19" t="s">
        <v>5</v>
      </c>
      <c r="D290" s="19" t="s">
        <v>200</v>
      </c>
      <c r="E290" s="3">
        <v>1</v>
      </c>
      <c r="F290" s="5">
        <v>6499</v>
      </c>
      <c r="G290" s="4">
        <v>0.22</v>
      </c>
      <c r="H290" s="5">
        <f t="shared" si="1"/>
        <v>5069.22</v>
      </c>
      <c r="I290" s="7" t="e">
        <f ca="1">ROUND(_xludf.IFS(L290="Cancelled", 0, L290="Returned", -0.1*H290, C290="Electronics", 0.14*H290, C290="Appliances", 0.16*H290, C290="Fashion", 0.26*H290, C290="Home &amp; Kitchen", 0.22*H290, C290="Beauty &amp; Personal Care", 0.3*H290, C290="Sports &amp; Fitness", 0.2*H290, TRUE, 0.15*H290), 2)</f>
        <v>#NAME?</v>
      </c>
      <c r="J290" s="19" t="s">
        <v>46</v>
      </c>
      <c r="K290" s="19" t="s">
        <v>56</v>
      </c>
      <c r="L290" s="16" t="s">
        <v>24</v>
      </c>
      <c r="M290" s="19" t="s">
        <v>114</v>
      </c>
    </row>
    <row r="291" spans="1:13" ht="12.75">
      <c r="A291" s="16" t="s">
        <v>446</v>
      </c>
      <c r="B291" s="17">
        <v>46020</v>
      </c>
      <c r="C291" s="19" t="s">
        <v>6</v>
      </c>
      <c r="D291" s="19" t="s">
        <v>168</v>
      </c>
      <c r="E291" s="3">
        <v>2</v>
      </c>
      <c r="F291" s="5">
        <v>1299</v>
      </c>
      <c r="G291" s="4">
        <v>0.15</v>
      </c>
      <c r="H291" s="5">
        <f t="shared" si="1"/>
        <v>2208.3000000000002</v>
      </c>
      <c r="I291" s="7" t="e">
        <f ca="1">ROUND(_xludf.IFS(L291="Cancelled", 0, L291="Returned", -0.1*H291, C291="Electronics", 0.14*H291, C291="Appliances", 0.16*H291, C291="Fashion", 0.26*H291, C291="Home &amp; Kitchen", 0.22*H291, C291="Beauty &amp; Personal Care", 0.3*H291, C291="Sports &amp; Fitness", 0.2*H291, TRUE, 0.15*H291), 2)</f>
        <v>#NAME?</v>
      </c>
      <c r="J291" s="19" t="s">
        <v>66</v>
      </c>
      <c r="K291" s="19" t="s">
        <v>47</v>
      </c>
      <c r="L291" s="16" t="s">
        <v>24</v>
      </c>
      <c r="M291" s="19" t="s">
        <v>67</v>
      </c>
    </row>
    <row r="292" spans="1:13" ht="12.75">
      <c r="A292" s="16" t="s">
        <v>447</v>
      </c>
      <c r="B292" s="17">
        <v>46024</v>
      </c>
      <c r="C292" s="19" t="s">
        <v>4</v>
      </c>
      <c r="D292" s="19" t="s">
        <v>203</v>
      </c>
      <c r="E292" s="3">
        <v>1</v>
      </c>
      <c r="F292" s="5">
        <v>1399</v>
      </c>
      <c r="G292" s="4">
        <v>0.25</v>
      </c>
      <c r="H292" s="5">
        <f t="shared" si="1"/>
        <v>1049.25</v>
      </c>
      <c r="I292" s="7" t="e">
        <f ca="1">ROUND(_xludf.IFS(L292="Cancelled", 0, L292="Returned", -0.1*H292, C292="Electronics", 0.14*H292, C292="Appliances", 0.16*H292, C292="Fashion", 0.26*H292, C292="Home &amp; Kitchen", 0.22*H292, C292="Beauty &amp; Personal Care", 0.3*H292, C292="Sports &amp; Fitness", 0.2*H292, TRUE, 0.15*H292), 2)</f>
        <v>#NAME?</v>
      </c>
      <c r="J292" s="19" t="s">
        <v>46</v>
      </c>
      <c r="K292" s="19" t="s">
        <v>47</v>
      </c>
      <c r="L292" s="16" t="s">
        <v>24</v>
      </c>
      <c r="M292" s="19" t="s">
        <v>64</v>
      </c>
    </row>
    <row r="293" spans="1:13" ht="12.75">
      <c r="A293" s="16" t="s">
        <v>448</v>
      </c>
      <c r="B293" s="17">
        <v>46026</v>
      </c>
      <c r="C293" s="19" t="s">
        <v>3</v>
      </c>
      <c r="D293" s="19" t="s">
        <v>205</v>
      </c>
      <c r="E293" s="3">
        <v>1</v>
      </c>
      <c r="F293" s="5">
        <v>1699</v>
      </c>
      <c r="G293" s="4">
        <v>0.15</v>
      </c>
      <c r="H293" s="5">
        <f t="shared" si="1"/>
        <v>1444.15</v>
      </c>
      <c r="I293" s="7" t="e">
        <f ca="1">ROUND(_xludf.IFS(L293="Cancelled", 0, L293="Returned", -0.1*H293, C293="Electronics", 0.14*H293, C293="Appliances", 0.16*H293, C293="Fashion", 0.26*H293, C293="Home &amp; Kitchen", 0.22*H293, C293="Beauty &amp; Personal Care", 0.3*H293, C293="Sports &amp; Fitness", 0.2*H293, TRUE, 0.15*H293), 2)</f>
        <v>#NAME?</v>
      </c>
      <c r="J293" s="19" t="s">
        <v>51</v>
      </c>
      <c r="K293" s="19" t="s">
        <v>47</v>
      </c>
      <c r="L293" s="16" t="s">
        <v>24</v>
      </c>
      <c r="M293" s="19" t="s">
        <v>48</v>
      </c>
    </row>
    <row r="294" spans="1:13" ht="12.75">
      <c r="A294" s="16" t="s">
        <v>449</v>
      </c>
      <c r="B294" s="17">
        <v>46029</v>
      </c>
      <c r="C294" s="19" t="s">
        <v>2</v>
      </c>
      <c r="D294" s="19" t="s">
        <v>207</v>
      </c>
      <c r="E294" s="3">
        <v>2</v>
      </c>
      <c r="F294" s="5">
        <v>349</v>
      </c>
      <c r="G294" s="4">
        <v>0.12</v>
      </c>
      <c r="H294" s="5">
        <f t="shared" si="1"/>
        <v>614.24</v>
      </c>
      <c r="I294" s="7" t="e">
        <f ca="1">ROUND(_xludf.IFS(L294="Cancelled", 0, L294="Returned", -0.1*H294, C294="Electronics", 0.14*H294, C294="Appliances", 0.16*H294, C294="Fashion", 0.26*H294, C294="Home &amp; Kitchen", 0.22*H294, C294="Beauty &amp; Personal Care", 0.3*H294, C294="Sports &amp; Fitness", 0.2*H294, TRUE, 0.15*H294), 2)</f>
        <v>#NAME?</v>
      </c>
      <c r="J294" s="19" t="s">
        <v>46</v>
      </c>
      <c r="K294" s="19" t="s">
        <v>47</v>
      </c>
      <c r="L294" s="16" t="s">
        <v>24</v>
      </c>
      <c r="M294" s="19" t="s">
        <v>52</v>
      </c>
    </row>
    <row r="295" spans="1:13" ht="12.75">
      <c r="A295" s="16" t="s">
        <v>450</v>
      </c>
      <c r="B295" s="17">
        <v>46031</v>
      </c>
      <c r="C295" s="19" t="s">
        <v>7</v>
      </c>
      <c r="D295" s="19" t="s">
        <v>232</v>
      </c>
      <c r="E295" s="3">
        <v>1</v>
      </c>
      <c r="F295" s="5">
        <v>13999</v>
      </c>
      <c r="G295" s="4">
        <v>0.14000000000000001</v>
      </c>
      <c r="H295" s="5">
        <f t="shared" si="1"/>
        <v>12039.14</v>
      </c>
      <c r="I295" s="7" t="e">
        <f ca="1">ROUND(_xludf.IFS(L295="Cancelled", 0, L295="Returned", -0.1*H295, C295="Electronics", 0.14*H295, C295="Appliances", 0.16*H295, C295="Fashion", 0.26*H295, C295="Home &amp; Kitchen", 0.22*H295, C295="Beauty &amp; Personal Care", 0.3*H295, C295="Sports &amp; Fitness", 0.2*H295, TRUE, 0.15*H295), 2)</f>
        <v>#NAME?</v>
      </c>
      <c r="J295" s="19" t="s">
        <v>51</v>
      </c>
      <c r="K295" s="19" t="s">
        <v>47</v>
      </c>
      <c r="L295" s="16" t="s">
        <v>24</v>
      </c>
      <c r="M295" s="19" t="s">
        <v>57</v>
      </c>
    </row>
    <row r="296" spans="1:13" ht="12.75">
      <c r="A296" s="16" t="s">
        <v>451</v>
      </c>
      <c r="B296" s="17">
        <v>46034</v>
      </c>
      <c r="C296" s="19" t="s">
        <v>5</v>
      </c>
      <c r="D296" s="19" t="s">
        <v>211</v>
      </c>
      <c r="E296" s="3">
        <v>2</v>
      </c>
      <c r="F296" s="5">
        <v>1299</v>
      </c>
      <c r="G296" s="4">
        <v>0.15</v>
      </c>
      <c r="H296" s="5">
        <f t="shared" si="1"/>
        <v>2208.3000000000002</v>
      </c>
      <c r="I296" s="7" t="e">
        <f ca="1">ROUND(_xludf.IFS(L296="Cancelled", 0, L296="Returned", -0.1*H296, C296="Electronics", 0.14*H296, C296="Appliances", 0.16*H296, C296="Fashion", 0.26*H296, C296="Home &amp; Kitchen", 0.22*H296, C296="Beauty &amp; Personal Care", 0.3*H296, C296="Sports &amp; Fitness", 0.2*H296, TRUE, 0.15*H296), 2)</f>
        <v>#NAME?</v>
      </c>
      <c r="J296" s="19" t="s">
        <v>60</v>
      </c>
      <c r="K296" s="19" t="s">
        <v>56</v>
      </c>
      <c r="L296" s="16" t="s">
        <v>24</v>
      </c>
      <c r="M296" s="19" t="s">
        <v>73</v>
      </c>
    </row>
    <row r="297" spans="1:13" ht="12.75">
      <c r="A297" s="16" t="s">
        <v>452</v>
      </c>
      <c r="B297" s="17">
        <v>46036</v>
      </c>
      <c r="C297" s="19" t="s">
        <v>6</v>
      </c>
      <c r="D297" s="19" t="s">
        <v>179</v>
      </c>
      <c r="E297" s="3">
        <v>1</v>
      </c>
      <c r="F297" s="5">
        <v>15499</v>
      </c>
      <c r="G297" s="4">
        <v>0.1</v>
      </c>
      <c r="H297" s="5">
        <f t="shared" si="1"/>
        <v>13949.1</v>
      </c>
      <c r="I297" s="7" t="e">
        <f ca="1">ROUND(_xludf.IFS(L297="Cancelled", 0, L297="Returned", -0.1*H297, C297="Electronics", 0.14*H297, C297="Appliances", 0.16*H297, C297="Fashion", 0.26*H297, C297="Home &amp; Kitchen", 0.22*H297, C297="Beauty &amp; Personal Care", 0.3*H297, C297="Sports &amp; Fitness", 0.2*H297, TRUE, 0.15*H297), 2)</f>
        <v>#NAME?</v>
      </c>
      <c r="J297" s="19" t="s">
        <v>66</v>
      </c>
      <c r="K297" s="19" t="s">
        <v>47</v>
      </c>
      <c r="L297" s="16" t="s">
        <v>24</v>
      </c>
      <c r="M297" s="19" t="s">
        <v>64</v>
      </c>
    </row>
    <row r="298" spans="1:13" ht="12.75">
      <c r="A298" s="16" t="s">
        <v>453</v>
      </c>
      <c r="B298" s="17">
        <v>46039</v>
      </c>
      <c r="C298" s="19" t="s">
        <v>4</v>
      </c>
      <c r="D298" s="19" t="s">
        <v>215</v>
      </c>
      <c r="E298" s="3">
        <v>1</v>
      </c>
      <c r="F298" s="5">
        <v>1049</v>
      </c>
      <c r="G298" s="4">
        <v>0.3</v>
      </c>
      <c r="H298" s="5">
        <f t="shared" si="1"/>
        <v>734.3</v>
      </c>
      <c r="I298" s="7" t="e">
        <f ca="1">ROUND(_xludf.IFS(L298="Cancelled", 0, L298="Returned", -0.1*H298, C298="Electronics", 0.14*H298, C298="Appliances", 0.16*H298, C298="Fashion", 0.26*H298, C298="Home &amp; Kitchen", 0.22*H298, C298="Beauty &amp; Personal Care", 0.3*H298, C298="Sports &amp; Fitness", 0.2*H298, TRUE, 0.15*H298), 2)</f>
        <v>#NAME?</v>
      </c>
      <c r="J298" s="19" t="s">
        <v>46</v>
      </c>
      <c r="K298" s="19" t="s">
        <v>47</v>
      </c>
      <c r="L298" s="16" t="s">
        <v>24</v>
      </c>
      <c r="M298" s="19" t="s">
        <v>48</v>
      </c>
    </row>
    <row r="299" spans="1:13" ht="12.75">
      <c r="A299" s="16" t="s">
        <v>454</v>
      </c>
      <c r="B299" s="17">
        <v>46041</v>
      </c>
      <c r="C299" s="19" t="s">
        <v>3</v>
      </c>
      <c r="D299" s="19" t="s">
        <v>217</v>
      </c>
      <c r="E299" s="3">
        <v>2</v>
      </c>
      <c r="F299" s="5">
        <v>849</v>
      </c>
      <c r="G299" s="4">
        <v>0.1</v>
      </c>
      <c r="H299" s="5">
        <f t="shared" si="1"/>
        <v>1528.2</v>
      </c>
      <c r="I299" s="7" t="e">
        <f ca="1">ROUND(_xludf.IFS(L299="Cancelled", 0, L299="Returned", -0.1*H299, C299="Electronics", 0.14*H299, C299="Appliances", 0.16*H299, C299="Fashion", 0.26*H299, C299="Home &amp; Kitchen", 0.22*H299, C299="Beauty &amp; Personal Care", 0.3*H299, C299="Sports &amp; Fitness", 0.2*H299, TRUE, 0.15*H299), 2)</f>
        <v>#NAME?</v>
      </c>
      <c r="J299" s="19" t="s">
        <v>79</v>
      </c>
      <c r="K299" s="19" t="s">
        <v>47</v>
      </c>
      <c r="L299" s="16" t="s">
        <v>24</v>
      </c>
      <c r="M299" s="19" t="s">
        <v>52</v>
      </c>
    </row>
    <row r="300" spans="1:13" ht="12.75">
      <c r="A300" s="16" t="s">
        <v>455</v>
      </c>
      <c r="B300" s="17">
        <v>46044</v>
      </c>
      <c r="C300" s="19" t="s">
        <v>2</v>
      </c>
      <c r="D300" s="19" t="s">
        <v>219</v>
      </c>
      <c r="E300" s="3">
        <v>2</v>
      </c>
      <c r="F300" s="5">
        <v>549</v>
      </c>
      <c r="G300" s="4">
        <v>0.15</v>
      </c>
      <c r="H300" s="5">
        <f t="shared" si="1"/>
        <v>933.3</v>
      </c>
      <c r="I300" s="7" t="e">
        <f ca="1">ROUND(_xludf.IFS(L300="Cancelled", 0, L300="Returned", -0.1*H300, C300="Electronics", 0.14*H300, C300="Appliances", 0.16*H300, C300="Fashion", 0.26*H300, C300="Home &amp; Kitchen", 0.22*H300, C300="Beauty &amp; Personal Care", 0.3*H300, C300="Sports &amp; Fitness", 0.2*H300, TRUE, 0.15*H300), 2)</f>
        <v>#NAME?</v>
      </c>
      <c r="J300" s="19" t="s">
        <v>60</v>
      </c>
      <c r="K300" s="19" t="s">
        <v>47</v>
      </c>
      <c r="L300" s="16" t="s">
        <v>24</v>
      </c>
      <c r="M300" s="19" t="s">
        <v>61</v>
      </c>
    </row>
    <row r="301" spans="1:13" ht="12.75">
      <c r="A301" s="16" t="s">
        <v>456</v>
      </c>
      <c r="B301" s="17">
        <v>46046</v>
      </c>
      <c r="C301" s="19" t="s">
        <v>7</v>
      </c>
      <c r="D301" s="19" t="s">
        <v>12</v>
      </c>
      <c r="E301" s="3">
        <v>1</v>
      </c>
      <c r="F301" s="5">
        <v>31990</v>
      </c>
      <c r="G301" s="4">
        <v>0.16</v>
      </c>
      <c r="H301" s="5">
        <f t="shared" si="1"/>
        <v>26871.599999999999</v>
      </c>
      <c r="I301" s="7" t="e">
        <f ca="1">ROUND(_xludf.IFS(L301="Cancelled", 0, L301="Returned", -0.1*H301, C301="Electronics", 0.14*H301, C301="Appliances", 0.16*H301, C301="Fashion", 0.26*H301, C301="Home &amp; Kitchen", 0.22*H301, C301="Beauty &amp; Personal Care", 0.3*H301, C301="Sports &amp; Fitness", 0.2*H301, TRUE, 0.15*H301), 2)</f>
        <v>#NAME?</v>
      </c>
      <c r="J301" s="19" t="s">
        <v>51</v>
      </c>
      <c r="K301" s="19" t="s">
        <v>47</v>
      </c>
      <c r="L301" s="16" t="s">
        <v>24</v>
      </c>
      <c r="M301" s="19" t="s">
        <v>70</v>
      </c>
    </row>
    <row r="302" spans="1:13" ht="12.75">
      <c r="A302" s="16" t="s">
        <v>457</v>
      </c>
      <c r="B302" s="17">
        <v>46049</v>
      </c>
      <c r="C302" s="19" t="s">
        <v>5</v>
      </c>
      <c r="D302" s="19" t="s">
        <v>223</v>
      </c>
      <c r="E302" s="3">
        <v>1</v>
      </c>
      <c r="F302" s="5">
        <v>999</v>
      </c>
      <c r="G302" s="4">
        <v>0.1</v>
      </c>
      <c r="H302" s="5">
        <f t="shared" si="1"/>
        <v>899.1</v>
      </c>
      <c r="I302" s="7" t="e">
        <f ca="1">ROUND(_xludf.IFS(L302="Cancelled", 0, L302="Returned", -0.1*H302, C302="Electronics", 0.14*H302, C302="Appliances", 0.16*H302, C302="Fashion", 0.26*H302, C302="Home &amp; Kitchen", 0.22*H302, C302="Beauty &amp; Personal Care", 0.3*H302, C302="Sports &amp; Fitness", 0.2*H302, TRUE, 0.15*H302), 2)</f>
        <v>#NAME?</v>
      </c>
      <c r="J302" s="19" t="s">
        <v>46</v>
      </c>
      <c r="K302" s="19" t="s">
        <v>56</v>
      </c>
      <c r="L302" s="16" t="s">
        <v>24</v>
      </c>
      <c r="M302" s="19" t="s">
        <v>109</v>
      </c>
    </row>
    <row r="303" spans="1:13" ht="12.75">
      <c r="A303" s="16" t="s">
        <v>458</v>
      </c>
      <c r="B303" s="17">
        <v>46051</v>
      </c>
      <c r="C303" s="19" t="s">
        <v>6</v>
      </c>
      <c r="D303" s="19" t="s">
        <v>191</v>
      </c>
      <c r="E303" s="3">
        <v>2</v>
      </c>
      <c r="F303" s="5">
        <v>1199</v>
      </c>
      <c r="G303" s="4">
        <v>0.18</v>
      </c>
      <c r="H303" s="5">
        <f t="shared" si="1"/>
        <v>1966.36</v>
      </c>
      <c r="I303" s="7" t="e">
        <f ca="1">ROUND(_xludf.IFS(L303="Cancelled", 0, L303="Returned", -0.1*H303, C303="Electronics", 0.14*H303, C303="Appliances", 0.16*H303, C303="Fashion", 0.26*H303, C303="Home &amp; Kitchen", 0.22*H303, C303="Beauty &amp; Personal Care", 0.3*H303, C303="Sports &amp; Fitness", 0.2*H303, TRUE, 0.15*H303), 2)</f>
        <v>#NAME?</v>
      </c>
      <c r="J303" s="19" t="s">
        <v>46</v>
      </c>
      <c r="K303" s="19" t="s">
        <v>47</v>
      </c>
      <c r="L303" s="16" t="s">
        <v>26</v>
      </c>
      <c r="M303" s="19" t="s">
        <v>48</v>
      </c>
    </row>
    <row r="304" spans="1:13" ht="12.75">
      <c r="A304" s="16" t="s">
        <v>459</v>
      </c>
      <c r="B304" s="17">
        <v>46054</v>
      </c>
      <c r="C304" s="19" t="s">
        <v>4</v>
      </c>
      <c r="D304" s="19" t="s">
        <v>33</v>
      </c>
      <c r="E304" s="3">
        <v>2</v>
      </c>
      <c r="F304" s="5">
        <v>1149</v>
      </c>
      <c r="G304" s="4">
        <v>0.2</v>
      </c>
      <c r="H304" s="5">
        <f t="shared" si="1"/>
        <v>1838.4</v>
      </c>
      <c r="I304" s="7" t="e">
        <f ca="1">ROUND(_xludf.IFS(L304="Cancelled", 0, L304="Returned", -0.1*H304, C304="Electronics", 0.14*H304, C304="Appliances", 0.16*H304, C304="Fashion", 0.26*H304, C304="Home &amp; Kitchen", 0.22*H304, C304="Beauty &amp; Personal Care", 0.3*H304, C304="Sports &amp; Fitness", 0.2*H304, TRUE, 0.15*H304), 2)</f>
        <v>#NAME?</v>
      </c>
      <c r="J304" s="19" t="s">
        <v>51</v>
      </c>
      <c r="K304" s="19" t="s">
        <v>56</v>
      </c>
      <c r="L304" s="16" t="s">
        <v>24</v>
      </c>
      <c r="M304" s="19" t="s">
        <v>64</v>
      </c>
    </row>
    <row r="305" spans="1:13" ht="12.75">
      <c r="A305" s="16" t="s">
        <v>460</v>
      </c>
      <c r="B305" s="17">
        <v>46056</v>
      </c>
      <c r="C305" s="19" t="s">
        <v>3</v>
      </c>
      <c r="D305" s="19" t="s">
        <v>228</v>
      </c>
      <c r="E305" s="3">
        <v>1</v>
      </c>
      <c r="F305" s="5">
        <v>1695</v>
      </c>
      <c r="G305" s="4">
        <v>0.15</v>
      </c>
      <c r="H305" s="5">
        <f t="shared" si="1"/>
        <v>1440.75</v>
      </c>
      <c r="I305" s="7" t="e">
        <f ca="1">ROUND(_xludf.IFS(L305="Cancelled", 0, L305="Returned", -0.1*H305, C305="Electronics", 0.14*H305, C305="Appliances", 0.16*H305, C305="Fashion", 0.26*H305, C305="Home &amp; Kitchen", 0.22*H305, C305="Beauty &amp; Personal Care", 0.3*H305, C305="Sports &amp; Fitness", 0.2*H305, TRUE, 0.15*H305), 2)</f>
        <v>#NAME?</v>
      </c>
      <c r="J305" s="19" t="s">
        <v>55</v>
      </c>
      <c r="K305" s="19" t="s">
        <v>47</v>
      </c>
      <c r="L305" s="16" t="s">
        <v>24</v>
      </c>
      <c r="M305" s="19" t="s">
        <v>52</v>
      </c>
    </row>
    <row r="306" spans="1:13" ht="12.75">
      <c r="A306" s="16" t="s">
        <v>461</v>
      </c>
      <c r="B306" s="17">
        <v>46059</v>
      </c>
      <c r="C306" s="19" t="s">
        <v>2</v>
      </c>
      <c r="D306" s="19" t="s">
        <v>230</v>
      </c>
      <c r="E306" s="3">
        <v>3</v>
      </c>
      <c r="F306" s="5">
        <v>299</v>
      </c>
      <c r="G306" s="4">
        <v>0.05</v>
      </c>
      <c r="H306" s="5">
        <f t="shared" si="1"/>
        <v>852.15</v>
      </c>
      <c r="I306" s="7" t="e">
        <f ca="1">ROUND(_xludf.IFS(L306="Cancelled", 0, L306="Returned", -0.1*H306, C306="Electronics", 0.14*H306, C306="Appliances", 0.16*H306, C306="Fashion", 0.26*H306, C306="Home &amp; Kitchen", 0.22*H306, C306="Beauty &amp; Personal Care", 0.3*H306, C306="Sports &amp; Fitness", 0.2*H306, TRUE, 0.15*H306), 2)</f>
        <v>#NAME?</v>
      </c>
      <c r="J306" s="19" t="s">
        <v>60</v>
      </c>
      <c r="K306" s="19" t="s">
        <v>47</v>
      </c>
      <c r="L306" s="16" t="s">
        <v>24</v>
      </c>
      <c r="M306" s="19" t="s">
        <v>57</v>
      </c>
    </row>
    <row r="307" spans="1:13" ht="12.75">
      <c r="A307" s="16" t="s">
        <v>462</v>
      </c>
      <c r="B307" s="17">
        <v>46061</v>
      </c>
      <c r="C307" s="19" t="s">
        <v>7</v>
      </c>
      <c r="D307" s="19" t="s">
        <v>29</v>
      </c>
      <c r="E307" s="3">
        <v>1</v>
      </c>
      <c r="F307" s="5">
        <v>7490</v>
      </c>
      <c r="G307" s="4">
        <v>0.2</v>
      </c>
      <c r="H307" s="5">
        <f t="shared" si="1"/>
        <v>5992</v>
      </c>
      <c r="I307" s="7" t="e">
        <f ca="1">ROUND(_xludf.IFS(L307="Cancelled", 0, L307="Returned", -0.1*H307, C307="Electronics", 0.14*H307, C307="Appliances", 0.16*H307, C307="Fashion", 0.26*H307, C307="Home &amp; Kitchen", 0.22*H307, C307="Beauty &amp; Personal Care", 0.3*H307, C307="Sports &amp; Fitness", 0.2*H307, TRUE, 0.15*H307), 2)</f>
        <v>#NAME?</v>
      </c>
      <c r="J307" s="19" t="s">
        <v>55</v>
      </c>
      <c r="K307" s="19" t="s">
        <v>56</v>
      </c>
      <c r="L307" s="16" t="s">
        <v>24</v>
      </c>
      <c r="M307" s="19" t="s">
        <v>67</v>
      </c>
    </row>
    <row r="308" spans="1:13" ht="12.75">
      <c r="A308" s="16" t="s">
        <v>463</v>
      </c>
      <c r="B308" s="17">
        <v>46064</v>
      </c>
      <c r="C308" s="19" t="s">
        <v>5</v>
      </c>
      <c r="D308" s="19" t="s">
        <v>234</v>
      </c>
      <c r="E308" s="3">
        <v>3</v>
      </c>
      <c r="F308" s="5">
        <v>950</v>
      </c>
      <c r="G308" s="4">
        <v>0.08</v>
      </c>
      <c r="H308" s="5">
        <f t="shared" si="1"/>
        <v>2622</v>
      </c>
      <c r="I308" s="7" t="e">
        <f ca="1">ROUND(_xludf.IFS(L308="Cancelled", 0, L308="Returned", -0.1*H308, C308="Electronics", 0.14*H308, C308="Appliances", 0.16*H308, C308="Fashion", 0.26*H308, C308="Home &amp; Kitchen", 0.22*H308, C308="Beauty &amp; Personal Care", 0.3*H308, C308="Sports &amp; Fitness", 0.2*H308, TRUE, 0.15*H308), 2)</f>
        <v>#NAME?</v>
      </c>
      <c r="J308" s="19" t="s">
        <v>46</v>
      </c>
      <c r="K308" s="19" t="s">
        <v>56</v>
      </c>
      <c r="L308" s="16" t="s">
        <v>24</v>
      </c>
      <c r="M308" s="19" t="s">
        <v>76</v>
      </c>
    </row>
    <row r="309" spans="1:13" ht="12.75">
      <c r="A309" s="16" t="s">
        <v>464</v>
      </c>
      <c r="B309" s="17">
        <v>46066</v>
      </c>
      <c r="C309" s="19" t="s">
        <v>6</v>
      </c>
      <c r="D309" s="19" t="s">
        <v>13</v>
      </c>
      <c r="E309" s="3">
        <v>1</v>
      </c>
      <c r="F309" s="5">
        <v>37990</v>
      </c>
      <c r="G309" s="4">
        <v>0.08</v>
      </c>
      <c r="H309" s="5">
        <f t="shared" si="1"/>
        <v>34950.800000000003</v>
      </c>
      <c r="I309" s="7" t="e">
        <f ca="1">ROUND(_xludf.IFS(L309="Cancelled", 0, L309="Returned", -0.1*H309, C309="Electronics", 0.14*H309, C309="Appliances", 0.16*H309, C309="Fashion", 0.26*H309, C309="Home &amp; Kitchen", 0.22*H309, C309="Beauty &amp; Personal Care", 0.3*H309, C309="Sports &amp; Fitness", 0.2*H309, TRUE, 0.15*H309), 2)</f>
        <v>#NAME?</v>
      </c>
      <c r="J309" s="19" t="s">
        <v>51</v>
      </c>
      <c r="K309" s="19" t="s">
        <v>47</v>
      </c>
      <c r="L309" s="16" t="s">
        <v>24</v>
      </c>
      <c r="M309" s="19" t="s">
        <v>48</v>
      </c>
    </row>
    <row r="310" spans="1:13" ht="12.75">
      <c r="A310" s="16" t="s">
        <v>465</v>
      </c>
      <c r="B310" s="17">
        <v>46069</v>
      </c>
      <c r="C310" s="19" t="s">
        <v>4</v>
      </c>
      <c r="D310" s="19" t="s">
        <v>238</v>
      </c>
      <c r="E310" s="3">
        <v>1</v>
      </c>
      <c r="F310" s="5">
        <v>1499</v>
      </c>
      <c r="G310" s="4">
        <v>0.25</v>
      </c>
      <c r="H310" s="5">
        <f t="shared" si="1"/>
        <v>1124.25</v>
      </c>
      <c r="I310" s="7" t="e">
        <f ca="1">ROUND(_xludf.IFS(L310="Cancelled", 0, L310="Returned", -0.1*H310, C310="Electronics", 0.14*H310, C310="Appliances", 0.16*H310, C310="Fashion", 0.26*H310, C310="Home &amp; Kitchen", 0.22*H310, C310="Beauty &amp; Personal Care", 0.3*H310, C310="Sports &amp; Fitness", 0.2*H310, TRUE, 0.15*H310), 2)</f>
        <v>#NAME?</v>
      </c>
      <c r="J310" s="19" t="s">
        <v>66</v>
      </c>
      <c r="K310" s="19" t="s">
        <v>47</v>
      </c>
      <c r="L310" s="16" t="s">
        <v>24</v>
      </c>
      <c r="M310" s="19" t="s">
        <v>64</v>
      </c>
    </row>
    <row r="311" spans="1:13" ht="12.75">
      <c r="A311" s="16" t="s">
        <v>466</v>
      </c>
      <c r="B311" s="17">
        <v>46071</v>
      </c>
      <c r="C311" s="19" t="s">
        <v>3</v>
      </c>
      <c r="D311" s="19" t="s">
        <v>240</v>
      </c>
      <c r="E311" s="3">
        <v>2</v>
      </c>
      <c r="F311" s="5">
        <v>799</v>
      </c>
      <c r="G311" s="4">
        <v>0.12</v>
      </c>
      <c r="H311" s="5">
        <f t="shared" si="1"/>
        <v>1406.24</v>
      </c>
      <c r="I311" s="7" t="e">
        <f ca="1">ROUND(_xludf.IFS(L311="Cancelled", 0, L311="Returned", -0.1*H311, C311="Electronics", 0.14*H311, C311="Appliances", 0.16*H311, C311="Fashion", 0.26*H311, C311="Home &amp; Kitchen", 0.22*H311, C311="Beauty &amp; Personal Care", 0.3*H311, C311="Sports &amp; Fitness", 0.2*H311, TRUE, 0.15*H311), 2)</f>
        <v>#NAME?</v>
      </c>
      <c r="J311" s="19" t="s">
        <v>46</v>
      </c>
      <c r="K311" s="19" t="s">
        <v>47</v>
      </c>
      <c r="L311" s="16" t="s">
        <v>24</v>
      </c>
      <c r="M311" s="19" t="s">
        <v>52</v>
      </c>
    </row>
    <row r="312" spans="1:13" ht="12.75">
      <c r="A312" s="16" t="s">
        <v>467</v>
      </c>
      <c r="B312" s="17">
        <v>46074</v>
      </c>
      <c r="C312" s="19" t="s">
        <v>2</v>
      </c>
      <c r="D312" s="19" t="s">
        <v>242</v>
      </c>
      <c r="E312" s="3">
        <v>1</v>
      </c>
      <c r="F312" s="5">
        <v>899</v>
      </c>
      <c r="G312" s="4">
        <v>0.1</v>
      </c>
      <c r="H312" s="5">
        <f t="shared" si="1"/>
        <v>809.1</v>
      </c>
      <c r="I312" s="7" t="e">
        <f ca="1">ROUND(_xludf.IFS(L312="Cancelled", 0, L312="Returned", -0.1*H312, C312="Electronics", 0.14*H312, C312="Appliances", 0.16*H312, C312="Fashion", 0.26*H312, C312="Home &amp; Kitchen", 0.22*H312, C312="Beauty &amp; Personal Care", 0.3*H312, C312="Sports &amp; Fitness", 0.2*H312, TRUE, 0.15*H312), 2)</f>
        <v>#NAME?</v>
      </c>
      <c r="J312" s="19" t="s">
        <v>55</v>
      </c>
      <c r="K312" s="19" t="s">
        <v>47</v>
      </c>
      <c r="L312" s="16" t="s">
        <v>24</v>
      </c>
      <c r="M312" s="19" t="s">
        <v>64</v>
      </c>
    </row>
    <row r="313" spans="1:13" ht="12.75">
      <c r="A313" s="16" t="s">
        <v>468</v>
      </c>
      <c r="B313" s="17">
        <v>46076</v>
      </c>
      <c r="C313" s="19" t="s">
        <v>7</v>
      </c>
      <c r="D313" s="19" t="s">
        <v>263</v>
      </c>
      <c r="E313" s="3">
        <v>1</v>
      </c>
      <c r="F313" s="5">
        <v>3895</v>
      </c>
      <c r="G313" s="4">
        <v>0.18</v>
      </c>
      <c r="H313" s="5">
        <f t="shared" si="1"/>
        <v>3193.9</v>
      </c>
      <c r="I313" s="7" t="e">
        <f ca="1">ROUND(_xludf.IFS(L313="Cancelled", 0, L313="Returned", -0.1*H313, C313="Electronics", 0.14*H313, C313="Appliances", 0.16*H313, C313="Fashion", 0.26*H313, C313="Home &amp; Kitchen", 0.22*H313, C313="Beauty &amp; Personal Care", 0.3*H313, C313="Sports &amp; Fitness", 0.2*H313, TRUE, 0.15*H313), 2)</f>
        <v>#NAME?</v>
      </c>
      <c r="J313" s="19" t="s">
        <v>51</v>
      </c>
      <c r="K313" s="19" t="s">
        <v>47</v>
      </c>
      <c r="L313" s="16" t="s">
        <v>24</v>
      </c>
      <c r="M313" s="19" t="s">
        <v>48</v>
      </c>
    </row>
    <row r="314" spans="1:13" ht="12.75">
      <c r="A314" s="16" t="s">
        <v>469</v>
      </c>
      <c r="B314" s="17">
        <v>46079</v>
      </c>
      <c r="C314" s="19" t="s">
        <v>5</v>
      </c>
      <c r="D314" s="19" t="s">
        <v>245</v>
      </c>
      <c r="E314" s="3">
        <v>3</v>
      </c>
      <c r="F314" s="5">
        <v>249</v>
      </c>
      <c r="G314" s="4">
        <v>0.05</v>
      </c>
      <c r="H314" s="5">
        <f t="shared" si="1"/>
        <v>709.65</v>
      </c>
      <c r="I314" s="7" t="e">
        <f ca="1">ROUND(_xludf.IFS(L314="Cancelled", 0, L314="Returned", -0.1*H314, C314="Electronics", 0.14*H314, C314="Appliances", 0.16*H314, C314="Fashion", 0.26*H314, C314="Home &amp; Kitchen", 0.22*H314, C314="Beauty &amp; Personal Care", 0.3*H314, C314="Sports &amp; Fitness", 0.2*H314, TRUE, 0.15*H314), 2)</f>
        <v>#NAME?</v>
      </c>
      <c r="J314" s="19" t="s">
        <v>46</v>
      </c>
      <c r="K314" s="19" t="s">
        <v>56</v>
      </c>
      <c r="L314" s="16" t="s">
        <v>24</v>
      </c>
      <c r="M314" s="19" t="s">
        <v>57</v>
      </c>
    </row>
    <row r="315" spans="1:13" ht="12.75">
      <c r="A315" s="16" t="s">
        <v>470</v>
      </c>
      <c r="B315" s="17">
        <v>46081</v>
      </c>
      <c r="C315" s="19" t="s">
        <v>6</v>
      </c>
      <c r="D315" s="19" t="s">
        <v>213</v>
      </c>
      <c r="E315" s="3">
        <v>3</v>
      </c>
      <c r="F315" s="5">
        <v>399</v>
      </c>
      <c r="G315" s="4">
        <v>0.1</v>
      </c>
      <c r="H315" s="5">
        <f t="shared" si="1"/>
        <v>1077.3</v>
      </c>
      <c r="I315" s="7" t="e">
        <f ca="1">ROUND(_xludf.IFS(L315="Cancelled", 0, L315="Returned", -0.1*H315, C315="Electronics", 0.14*H315, C315="Appliances", 0.16*H315, C315="Fashion", 0.26*H315, C315="Home &amp; Kitchen", 0.22*H315, C315="Beauty &amp; Personal Care", 0.3*H315, C315="Sports &amp; Fitness", 0.2*H315, TRUE, 0.15*H315), 2)</f>
        <v>#NAME?</v>
      </c>
      <c r="J315" s="19" t="s">
        <v>66</v>
      </c>
      <c r="K315" s="19" t="s">
        <v>47</v>
      </c>
      <c r="L315" s="16" t="s">
        <v>24</v>
      </c>
      <c r="M315" s="19" t="s">
        <v>52</v>
      </c>
    </row>
    <row r="316" spans="1:13" ht="12.75">
      <c r="A316" s="16" t="s">
        <v>471</v>
      </c>
      <c r="B316" s="17">
        <v>46084</v>
      </c>
      <c r="C316" s="19" t="s">
        <v>4</v>
      </c>
      <c r="D316" s="19" t="s">
        <v>248</v>
      </c>
      <c r="E316" s="3">
        <v>1</v>
      </c>
      <c r="F316" s="5">
        <v>2290</v>
      </c>
      <c r="G316" s="4">
        <v>0.2</v>
      </c>
      <c r="H316" s="5">
        <f t="shared" si="1"/>
        <v>1832</v>
      </c>
      <c r="I316" s="7" t="e">
        <f ca="1">ROUND(_xludf.IFS(L316="Cancelled", 0, L316="Returned", -0.1*H316, C316="Electronics", 0.14*H316, C316="Appliances", 0.16*H316, C316="Fashion", 0.26*H316, C316="Home &amp; Kitchen", 0.22*H316, C316="Beauty &amp; Personal Care", 0.3*H316, C316="Sports &amp; Fitness", 0.2*H316, TRUE, 0.15*H316), 2)</f>
        <v>#NAME?</v>
      </c>
      <c r="J316" s="19" t="s">
        <v>51</v>
      </c>
      <c r="K316" s="19" t="s">
        <v>47</v>
      </c>
      <c r="L316" s="16" t="s">
        <v>24</v>
      </c>
      <c r="M316" s="19" t="s">
        <v>73</v>
      </c>
    </row>
    <row r="317" spans="1:13" ht="12.75">
      <c r="A317" s="16" t="s">
        <v>472</v>
      </c>
      <c r="B317" s="17">
        <v>46086</v>
      </c>
      <c r="C317" s="19" t="s">
        <v>3</v>
      </c>
      <c r="D317" s="19" t="s">
        <v>250</v>
      </c>
      <c r="E317" s="3">
        <v>1</v>
      </c>
      <c r="F317" s="5">
        <v>899</v>
      </c>
      <c r="G317" s="4">
        <v>0.15</v>
      </c>
      <c r="H317" s="5">
        <f t="shared" si="1"/>
        <v>764.15</v>
      </c>
      <c r="I317" s="7" t="e">
        <f ca="1">ROUND(_xludf.IFS(L317="Cancelled", 0, L317="Returned", -0.1*H317, C317="Electronics", 0.14*H317, C317="Appliances", 0.16*H317, C317="Fashion", 0.26*H317, C317="Home &amp; Kitchen", 0.22*H317, C317="Beauty &amp; Personal Care", 0.3*H317, C317="Sports &amp; Fitness", 0.2*H317, TRUE, 0.15*H317), 2)</f>
        <v>#NAME?</v>
      </c>
      <c r="J317" s="19" t="s">
        <v>46</v>
      </c>
      <c r="K317" s="19" t="s">
        <v>47</v>
      </c>
      <c r="L317" s="16" t="s">
        <v>24</v>
      </c>
      <c r="M317" s="19" t="s">
        <v>70</v>
      </c>
    </row>
    <row r="318" spans="1:13" ht="12.75">
      <c r="A318" s="16" t="s">
        <v>473</v>
      </c>
      <c r="B318" s="17">
        <v>46089</v>
      </c>
      <c r="C318" s="19" t="s">
        <v>2</v>
      </c>
      <c r="D318" s="19" t="s">
        <v>252</v>
      </c>
      <c r="E318" s="3">
        <v>4</v>
      </c>
      <c r="F318" s="5">
        <v>199</v>
      </c>
      <c r="G318" s="4">
        <v>0.05</v>
      </c>
      <c r="H318" s="5">
        <f t="shared" si="1"/>
        <v>756.2</v>
      </c>
      <c r="I318" s="7" t="e">
        <f ca="1">ROUND(_xludf.IFS(L318="Cancelled", 0, L318="Returned", -0.1*H318, C318="Electronics", 0.14*H318, C318="Appliances", 0.16*H318, C318="Fashion", 0.26*H318, C318="Home &amp; Kitchen", 0.22*H318, C318="Beauty &amp; Personal Care", 0.3*H318, C318="Sports &amp; Fitness", 0.2*H318, TRUE, 0.15*H318), 2)</f>
        <v>#NAME?</v>
      </c>
      <c r="J318" s="19" t="s">
        <v>60</v>
      </c>
      <c r="K318" s="19" t="s">
        <v>47</v>
      </c>
      <c r="L318" s="16" t="s">
        <v>24</v>
      </c>
      <c r="M318" s="19" t="s">
        <v>64</v>
      </c>
    </row>
    <row r="319" spans="1:13" ht="12.75">
      <c r="A319" s="16" t="s">
        <v>474</v>
      </c>
      <c r="B319" s="17">
        <v>46091</v>
      </c>
      <c r="C319" s="19" t="s">
        <v>7</v>
      </c>
      <c r="D319" s="19" t="s">
        <v>63</v>
      </c>
      <c r="E319" s="3">
        <v>1</v>
      </c>
      <c r="F319" s="5">
        <v>7999</v>
      </c>
      <c r="G319" s="4">
        <v>0.22</v>
      </c>
      <c r="H319" s="5">
        <f t="shared" si="1"/>
        <v>6239.22</v>
      </c>
      <c r="I319" s="7" t="e">
        <f ca="1">ROUND(_xludf.IFS(L319="Cancelled", 0, L319="Returned", -0.1*H319, C319="Electronics", 0.14*H319, C319="Appliances", 0.16*H319, C319="Fashion", 0.26*H319, C319="Home &amp; Kitchen", 0.22*H319, C319="Beauty &amp; Personal Care", 0.3*H319, C319="Sports &amp; Fitness", 0.2*H319, TRUE, 0.15*H319), 2)</f>
        <v>#NAME?</v>
      </c>
      <c r="J319" s="19" t="s">
        <v>51</v>
      </c>
      <c r="K319" s="19" t="s">
        <v>47</v>
      </c>
      <c r="L319" s="16" t="s">
        <v>24</v>
      </c>
      <c r="M319" s="19" t="s">
        <v>67</v>
      </c>
    </row>
    <row r="320" spans="1:13" ht="12.75">
      <c r="A320" s="16" t="s">
        <v>475</v>
      </c>
      <c r="B320" s="17">
        <v>46094</v>
      </c>
      <c r="C320" s="19" t="s">
        <v>5</v>
      </c>
      <c r="D320" s="19" t="s">
        <v>255</v>
      </c>
      <c r="E320" s="3">
        <v>2</v>
      </c>
      <c r="F320" s="5">
        <v>349</v>
      </c>
      <c r="G320" s="4">
        <v>0.1</v>
      </c>
      <c r="H320" s="5">
        <f t="shared" si="1"/>
        <v>628.20000000000005</v>
      </c>
      <c r="I320" s="7" t="e">
        <f ca="1">ROUND(_xludf.IFS(L320="Cancelled", 0, L320="Returned", -0.1*H320, C320="Electronics", 0.14*H320, C320="Appliances", 0.16*H320, C320="Fashion", 0.26*H320, C320="Home &amp; Kitchen", 0.22*H320, C320="Beauty &amp; Personal Care", 0.3*H320, C320="Sports &amp; Fitness", 0.2*H320, TRUE, 0.15*H320), 2)</f>
        <v>#NAME?</v>
      </c>
      <c r="J320" s="19" t="s">
        <v>46</v>
      </c>
      <c r="K320" s="19" t="s">
        <v>56</v>
      </c>
      <c r="L320" s="16" t="s">
        <v>24</v>
      </c>
      <c r="M320" s="19" t="s">
        <v>61</v>
      </c>
    </row>
    <row r="321" spans="1:13" ht="12.75">
      <c r="A321" s="16" t="s">
        <v>476</v>
      </c>
      <c r="B321" s="17">
        <v>46096</v>
      </c>
      <c r="C321" s="19" t="s">
        <v>6</v>
      </c>
      <c r="D321" s="19" t="s">
        <v>225</v>
      </c>
      <c r="E321" s="3">
        <v>1</v>
      </c>
      <c r="F321" s="5">
        <v>1699</v>
      </c>
      <c r="G321" s="4">
        <v>0.12</v>
      </c>
      <c r="H321" s="5">
        <f t="shared" si="1"/>
        <v>1495.12</v>
      </c>
      <c r="I321" s="7" t="e">
        <f ca="1">ROUND(_xludf.IFS(L321="Cancelled", 0, L321="Returned", -0.1*H321, C321="Electronics", 0.14*H321, C321="Appliances", 0.16*H321, C321="Fashion", 0.26*H321, C321="Home &amp; Kitchen", 0.22*H321, C321="Beauty &amp; Personal Care", 0.3*H321, C321="Sports &amp; Fitness", 0.2*H321, TRUE, 0.15*H321), 2)</f>
        <v>#NAME?</v>
      </c>
      <c r="J321" s="19" t="s">
        <v>66</v>
      </c>
      <c r="K321" s="19" t="s">
        <v>47</v>
      </c>
      <c r="L321" s="16" t="s">
        <v>24</v>
      </c>
      <c r="M321" s="19" t="s">
        <v>48</v>
      </c>
    </row>
    <row r="322" spans="1:13" ht="12.75">
      <c r="A322" s="16" t="s">
        <v>477</v>
      </c>
      <c r="B322" s="17">
        <v>46099</v>
      </c>
      <c r="C322" s="19" t="s">
        <v>4</v>
      </c>
      <c r="D322" s="19" t="s">
        <v>258</v>
      </c>
      <c r="E322" s="3">
        <v>2</v>
      </c>
      <c r="F322" s="5">
        <v>1099</v>
      </c>
      <c r="G322" s="4">
        <v>0.22</v>
      </c>
      <c r="H322" s="5">
        <f t="shared" si="1"/>
        <v>1714.44</v>
      </c>
      <c r="I322" s="7" t="e">
        <f ca="1">ROUND(_xludf.IFS(L322="Cancelled", 0, L322="Returned", -0.1*H322, C322="Electronics", 0.14*H322, C322="Appliances", 0.16*H322, C322="Fashion", 0.26*H322, C322="Home &amp; Kitchen", 0.22*H322, C322="Beauty &amp; Personal Care", 0.3*H322, C322="Sports &amp; Fitness", 0.2*H322, TRUE, 0.15*H322), 2)</f>
        <v>#NAME?</v>
      </c>
      <c r="J322" s="19" t="s">
        <v>46</v>
      </c>
      <c r="K322" s="19" t="s">
        <v>47</v>
      </c>
      <c r="L322" s="16" t="s">
        <v>24</v>
      </c>
      <c r="M322" s="19" t="s">
        <v>76</v>
      </c>
    </row>
    <row r="323" spans="1:13" ht="12.75">
      <c r="A323" s="16" t="s">
        <v>478</v>
      </c>
      <c r="B323" s="17">
        <v>46101</v>
      </c>
      <c r="C323" s="19" t="s">
        <v>3</v>
      </c>
      <c r="D323" s="19" t="s">
        <v>54</v>
      </c>
      <c r="E323" s="3">
        <v>1</v>
      </c>
      <c r="F323" s="5">
        <v>3299</v>
      </c>
      <c r="G323" s="4">
        <v>0.15</v>
      </c>
      <c r="H323" s="5">
        <f t="shared" si="1"/>
        <v>2804.15</v>
      </c>
      <c r="I323" s="7" t="e">
        <f ca="1">ROUND(_xludf.IFS(L323="Cancelled", 0, L323="Returned", -0.1*H323, C323="Electronics", 0.14*H323, C323="Appliances", 0.16*H323, C323="Fashion", 0.26*H323, C323="Home &amp; Kitchen", 0.22*H323, C323="Beauty &amp; Personal Care", 0.3*H323, C323="Sports &amp; Fitness", 0.2*H323, TRUE, 0.15*H323), 2)</f>
        <v>#NAME?</v>
      </c>
      <c r="J323" s="19" t="s">
        <v>55</v>
      </c>
      <c r="K323" s="19" t="s">
        <v>56</v>
      </c>
      <c r="L323" s="16" t="s">
        <v>24</v>
      </c>
      <c r="M323" s="19" t="s">
        <v>52</v>
      </c>
    </row>
    <row r="324" spans="1:13" ht="12.75">
      <c r="A324" s="16" t="s">
        <v>479</v>
      </c>
      <c r="B324" s="17">
        <v>46104</v>
      </c>
      <c r="C324" s="19" t="s">
        <v>2</v>
      </c>
      <c r="D324" s="19" t="s">
        <v>261</v>
      </c>
      <c r="E324" s="3">
        <v>2</v>
      </c>
      <c r="F324" s="5">
        <v>499</v>
      </c>
      <c r="G324" s="4">
        <v>0.12</v>
      </c>
      <c r="H324" s="5">
        <f t="shared" si="1"/>
        <v>878.24</v>
      </c>
      <c r="I324" s="7" t="e">
        <f ca="1">ROUND(_xludf.IFS(L324="Cancelled", 0, L324="Returned", -0.1*H324, C324="Electronics", 0.14*H324, C324="Appliances", 0.16*H324, C324="Fashion", 0.26*H324, C324="Home &amp; Kitchen", 0.22*H324, C324="Beauty &amp; Personal Care", 0.3*H324, C324="Sports &amp; Fitness", 0.2*H324, TRUE, 0.15*H324), 2)</f>
        <v>#NAME?</v>
      </c>
      <c r="J324" s="19" t="s">
        <v>60</v>
      </c>
      <c r="K324" s="19" t="s">
        <v>47</v>
      </c>
      <c r="L324" s="16" t="s">
        <v>24</v>
      </c>
      <c r="M324" s="19" t="s">
        <v>57</v>
      </c>
    </row>
    <row r="325" spans="1:13" ht="12.75">
      <c r="A325" s="16" t="s">
        <v>480</v>
      </c>
      <c r="B325" s="17">
        <v>46106</v>
      </c>
      <c r="C325" s="19" t="s">
        <v>7</v>
      </c>
      <c r="D325" s="19" t="s">
        <v>84</v>
      </c>
      <c r="E325" s="3">
        <v>1</v>
      </c>
      <c r="F325" s="5">
        <v>2899</v>
      </c>
      <c r="G325" s="4">
        <v>0.18</v>
      </c>
      <c r="H325" s="5">
        <f t="shared" si="1"/>
        <v>2377.1799999999998</v>
      </c>
      <c r="I325" s="7" t="e">
        <f ca="1">ROUND(_xludf.IFS(L325="Cancelled", 0, L325="Returned", -0.1*H325, C325="Electronics", 0.14*H325, C325="Appliances", 0.16*H325, C325="Fashion", 0.26*H325, C325="Home &amp; Kitchen", 0.22*H325, C325="Beauty &amp; Personal Care", 0.3*H325, C325="Sports &amp; Fitness", 0.2*H325, TRUE, 0.15*H325), 2)</f>
        <v>#NAME?</v>
      </c>
      <c r="J325" s="19" t="s">
        <v>46</v>
      </c>
      <c r="K325" s="19" t="s">
        <v>47</v>
      </c>
      <c r="L325" s="16" t="s">
        <v>24</v>
      </c>
      <c r="M325" s="19" t="s">
        <v>64</v>
      </c>
    </row>
    <row r="326" spans="1:13" ht="12.75">
      <c r="A326" s="16" t="s">
        <v>481</v>
      </c>
      <c r="B326" s="17">
        <v>46109</v>
      </c>
      <c r="C326" s="19" t="s">
        <v>5</v>
      </c>
      <c r="D326" s="19" t="s">
        <v>265</v>
      </c>
      <c r="E326" s="3">
        <v>1</v>
      </c>
      <c r="F326" s="5">
        <v>649</v>
      </c>
      <c r="G326" s="4">
        <v>0.15</v>
      </c>
      <c r="H326" s="5">
        <f t="shared" si="1"/>
        <v>551.65</v>
      </c>
      <c r="I326" s="7" t="e">
        <f ca="1">ROUND(_xludf.IFS(L326="Cancelled", 0, L326="Returned", -0.1*H326, C326="Electronics", 0.14*H326, C326="Appliances", 0.16*H326, C326="Fashion", 0.26*H326, C326="Home &amp; Kitchen", 0.22*H326, C326="Beauty &amp; Personal Care", 0.3*H326, C326="Sports &amp; Fitness", 0.2*H326, TRUE, 0.15*H326), 2)</f>
        <v>#NAME?</v>
      </c>
      <c r="J326" s="19" t="s">
        <v>60</v>
      </c>
      <c r="K326" s="19" t="s">
        <v>56</v>
      </c>
      <c r="L326" s="16" t="s">
        <v>26</v>
      </c>
      <c r="M326" s="19" t="s">
        <v>90</v>
      </c>
    </row>
    <row r="327" spans="1:13" ht="12.75">
      <c r="A327" s="16" t="s">
        <v>482</v>
      </c>
      <c r="B327" s="17">
        <v>46111</v>
      </c>
      <c r="C327" s="19" t="s">
        <v>6</v>
      </c>
      <c r="D327" s="19" t="s">
        <v>236</v>
      </c>
      <c r="E327" s="3">
        <v>1</v>
      </c>
      <c r="F327" s="5">
        <v>4499</v>
      </c>
      <c r="G327" s="4">
        <v>0.15</v>
      </c>
      <c r="H327" s="5">
        <f t="shared" si="1"/>
        <v>3824.15</v>
      </c>
      <c r="I327" s="7" t="e">
        <f ca="1">ROUND(_xludf.IFS(L327="Cancelled", 0, L327="Returned", -0.1*H327, C327="Electronics", 0.14*H327, C327="Appliances", 0.16*H327, C327="Fashion", 0.26*H327, C327="Home &amp; Kitchen", 0.22*H327, C327="Beauty &amp; Personal Care", 0.3*H327, C327="Sports &amp; Fitness", 0.2*H327, TRUE, 0.15*H327), 2)</f>
        <v>#NAME?</v>
      </c>
      <c r="J327" s="19" t="s">
        <v>51</v>
      </c>
      <c r="K327" s="19" t="s">
        <v>47</v>
      </c>
      <c r="L327" s="16" t="s">
        <v>24</v>
      </c>
      <c r="M327" s="19" t="s">
        <v>48</v>
      </c>
    </row>
    <row r="328" spans="1:13" ht="12.75">
      <c r="A328" s="16" t="s">
        <v>483</v>
      </c>
      <c r="B328" s="17">
        <v>46114</v>
      </c>
      <c r="C328" s="19" t="s">
        <v>4</v>
      </c>
      <c r="D328" s="19" t="s">
        <v>50</v>
      </c>
      <c r="E328" s="3">
        <v>1</v>
      </c>
      <c r="F328" s="5">
        <v>2499</v>
      </c>
      <c r="G328" s="4">
        <v>0.2</v>
      </c>
      <c r="H328" s="5">
        <f t="shared" si="1"/>
        <v>1999.2</v>
      </c>
      <c r="I328" s="7" t="e">
        <f ca="1">ROUND(_xludf.IFS(L328="Cancelled", 0, L328="Returned", -0.1*H328, C328="Electronics", 0.14*H328, C328="Appliances", 0.16*H328, C328="Fashion", 0.26*H328, C328="Home &amp; Kitchen", 0.22*H328, C328="Beauty &amp; Personal Care", 0.3*H328, C328="Sports &amp; Fitness", 0.2*H328, TRUE, 0.15*H328), 2)</f>
        <v>#NAME?</v>
      </c>
      <c r="J328" s="19" t="s">
        <v>79</v>
      </c>
      <c r="K328" s="19" t="s">
        <v>47</v>
      </c>
      <c r="L328" s="16" t="s">
        <v>24</v>
      </c>
      <c r="M328" s="19" t="s">
        <v>52</v>
      </c>
    </row>
    <row r="329" spans="1:13" ht="12.75">
      <c r="A329" s="16" t="s">
        <v>484</v>
      </c>
      <c r="B329" s="17">
        <v>46116</v>
      </c>
      <c r="C329" s="19" t="s">
        <v>3</v>
      </c>
      <c r="D329" s="19" t="s">
        <v>75</v>
      </c>
      <c r="E329" s="3">
        <v>1</v>
      </c>
      <c r="F329" s="5">
        <v>1899</v>
      </c>
      <c r="G329" s="4">
        <v>0.15</v>
      </c>
      <c r="H329" s="5">
        <f t="shared" si="1"/>
        <v>1614.15</v>
      </c>
      <c r="I329" s="7" t="e">
        <f ca="1">ROUND(_xludf.IFS(L329="Cancelled", 0, L329="Returned", -0.1*H329, C329="Electronics", 0.14*H329, C329="Appliances", 0.16*H329, C329="Fashion", 0.26*H329, C329="Home &amp; Kitchen", 0.22*H329, C329="Beauty &amp; Personal Care", 0.3*H329, C329="Sports &amp; Fitness", 0.2*H329, TRUE, 0.15*H329), 2)</f>
        <v>#NAME?</v>
      </c>
      <c r="J329" s="19" t="s">
        <v>46</v>
      </c>
      <c r="K329" s="19" t="s">
        <v>47</v>
      </c>
      <c r="L329" s="16" t="s">
        <v>24</v>
      </c>
      <c r="M329" s="19" t="s">
        <v>73</v>
      </c>
    </row>
    <row r="330" spans="1:13" ht="12.75">
      <c r="A330" s="16" t="s">
        <v>485</v>
      </c>
      <c r="B330" s="17">
        <v>46119</v>
      </c>
      <c r="C330" s="19" t="s">
        <v>2</v>
      </c>
      <c r="D330" s="19" t="s">
        <v>59</v>
      </c>
      <c r="E330" s="3">
        <v>3</v>
      </c>
      <c r="F330" s="5">
        <v>399</v>
      </c>
      <c r="G330" s="4">
        <v>0.05</v>
      </c>
      <c r="H330" s="5">
        <f t="shared" si="1"/>
        <v>1137.1500000000001</v>
      </c>
      <c r="I330" s="7" t="e">
        <f ca="1">ROUND(_xludf.IFS(L330="Cancelled", 0, L330="Returned", -0.1*H330, C330="Electronics", 0.14*H330, C330="Appliances", 0.16*H330, C330="Fashion", 0.26*H330, C330="Home &amp; Kitchen", 0.22*H330, C330="Beauty &amp; Personal Care", 0.3*H330, C330="Sports &amp; Fitness", 0.2*H330, TRUE, 0.15*H330), 2)</f>
        <v>#NAME?</v>
      </c>
      <c r="J330" s="19" t="s">
        <v>60</v>
      </c>
      <c r="K330" s="19" t="s">
        <v>47</v>
      </c>
      <c r="L330" s="16" t="s">
        <v>24</v>
      </c>
      <c r="M330" s="19" t="s">
        <v>106</v>
      </c>
    </row>
    <row r="331" spans="1:13" ht="12.75">
      <c r="A331" s="16" t="s">
        <v>486</v>
      </c>
      <c r="B331" s="17">
        <v>46121</v>
      </c>
      <c r="C331" s="19" t="s">
        <v>7</v>
      </c>
      <c r="D331" s="19" t="s">
        <v>98</v>
      </c>
      <c r="E331" s="3">
        <v>1</v>
      </c>
      <c r="F331" s="5">
        <v>7792</v>
      </c>
      <c r="G331" s="4">
        <v>0.2</v>
      </c>
      <c r="H331" s="5">
        <f t="shared" si="1"/>
        <v>6233.6</v>
      </c>
      <c r="I331" s="7" t="e">
        <f ca="1">ROUND(_xludf.IFS(L331="Cancelled", 0, L331="Returned", -0.1*H331, C331="Electronics", 0.14*H331, C331="Appliances", 0.16*H331, C331="Fashion", 0.26*H331, C331="Home &amp; Kitchen", 0.22*H331, C331="Beauty &amp; Personal Care", 0.3*H331, C331="Sports &amp; Fitness", 0.2*H331, TRUE, 0.15*H331), 2)</f>
        <v>#NAME?</v>
      </c>
      <c r="J331" s="19" t="s">
        <v>51</v>
      </c>
      <c r="K331" s="19" t="s">
        <v>47</v>
      </c>
      <c r="L331" s="16" t="s">
        <v>24</v>
      </c>
      <c r="M331" s="19" t="s">
        <v>64</v>
      </c>
    </row>
    <row r="332" spans="1:13" ht="12.75">
      <c r="A332" s="16" t="s">
        <v>487</v>
      </c>
      <c r="B332" s="17">
        <v>46124</v>
      </c>
      <c r="C332" s="19" t="s">
        <v>5</v>
      </c>
      <c r="D332" s="19" t="s">
        <v>69</v>
      </c>
      <c r="E332" s="3">
        <v>2</v>
      </c>
      <c r="F332" s="5">
        <v>499</v>
      </c>
      <c r="G332" s="4">
        <v>0.1</v>
      </c>
      <c r="H332" s="5">
        <f t="shared" si="1"/>
        <v>898.2</v>
      </c>
      <c r="I332" s="7" t="e">
        <f ca="1">ROUND(_xludf.IFS(L332="Cancelled", 0, L332="Returned", -0.1*H332, C332="Electronics", 0.14*H332, C332="Appliances", 0.16*H332, C332="Fashion", 0.26*H332, C332="Home &amp; Kitchen", 0.22*H332, C332="Beauty &amp; Personal Care", 0.3*H332, C332="Sports &amp; Fitness", 0.2*H332, TRUE, 0.15*H332), 2)</f>
        <v>#NAME?</v>
      </c>
      <c r="J332" s="19" t="s">
        <v>46</v>
      </c>
      <c r="K332" s="19" t="s">
        <v>56</v>
      </c>
      <c r="L332" s="16" t="s">
        <v>24</v>
      </c>
      <c r="M332" s="19" t="s">
        <v>70</v>
      </c>
    </row>
    <row r="333" spans="1:13" ht="12.75">
      <c r="A333" s="16" t="s">
        <v>488</v>
      </c>
      <c r="B333" s="17">
        <v>46126</v>
      </c>
      <c r="C333" s="19" t="s">
        <v>6</v>
      </c>
      <c r="D333" s="19" t="s">
        <v>45</v>
      </c>
      <c r="E333" s="3">
        <v>2</v>
      </c>
      <c r="F333" s="5">
        <v>1499</v>
      </c>
      <c r="G333" s="4">
        <v>0.1</v>
      </c>
      <c r="H333" s="5">
        <f t="shared" si="1"/>
        <v>2698.2</v>
      </c>
      <c r="I333" s="7" t="e">
        <f ca="1">ROUND(_xludf.IFS(L333="Cancelled", 0, L333="Returned", -0.1*H333, C333="Electronics", 0.14*H333, C333="Appliances", 0.16*H333, C333="Fashion", 0.26*H333, C333="Home &amp; Kitchen", 0.22*H333, C333="Beauty &amp; Personal Care", 0.3*H333, C333="Sports &amp; Fitness", 0.2*H333, TRUE, 0.15*H333), 2)</f>
        <v>#NAME?</v>
      </c>
      <c r="J333" s="19" t="s">
        <v>66</v>
      </c>
      <c r="K333" s="19" t="s">
        <v>47</v>
      </c>
      <c r="L333" s="16" t="s">
        <v>24</v>
      </c>
      <c r="M333" s="19" t="s">
        <v>48</v>
      </c>
    </row>
    <row r="334" spans="1:13" ht="12.75">
      <c r="A334" s="16" t="s">
        <v>489</v>
      </c>
      <c r="B334" s="17">
        <v>46129</v>
      </c>
      <c r="C334" s="19" t="s">
        <v>4</v>
      </c>
      <c r="D334" s="19" t="s">
        <v>72</v>
      </c>
      <c r="E334" s="3">
        <v>2</v>
      </c>
      <c r="F334" s="5">
        <v>1299</v>
      </c>
      <c r="G334" s="4">
        <v>0.28000000000000003</v>
      </c>
      <c r="H334" s="5">
        <f t="shared" si="1"/>
        <v>1870.56</v>
      </c>
      <c r="I334" s="7" t="e">
        <f ca="1">ROUND(_xludf.IFS(L334="Cancelled", 0, L334="Returned", -0.1*H334, C334="Electronics", 0.14*H334, C334="Appliances", 0.16*H334, C334="Fashion", 0.26*H334, C334="Home &amp; Kitchen", 0.22*H334, C334="Beauty &amp; Personal Care", 0.3*H334, C334="Sports &amp; Fitness", 0.2*H334, TRUE, 0.15*H334), 2)</f>
        <v>#NAME?</v>
      </c>
      <c r="J334" s="19" t="s">
        <v>46</v>
      </c>
      <c r="K334" s="19" t="s">
        <v>47</v>
      </c>
      <c r="L334" s="16" t="s">
        <v>24</v>
      </c>
      <c r="M334" s="19" t="s">
        <v>67</v>
      </c>
    </row>
    <row r="335" spans="1:13" ht="12.75">
      <c r="A335" s="16" t="s">
        <v>490</v>
      </c>
      <c r="B335" s="17">
        <v>46131</v>
      </c>
      <c r="C335" s="19" t="s">
        <v>3</v>
      </c>
      <c r="D335" s="19" t="s">
        <v>92</v>
      </c>
      <c r="E335" s="3">
        <v>3</v>
      </c>
      <c r="F335" s="5">
        <v>980</v>
      </c>
      <c r="G335" s="4">
        <v>0.08</v>
      </c>
      <c r="H335" s="5">
        <f t="shared" si="1"/>
        <v>2704.8</v>
      </c>
      <c r="I335" s="7" t="e">
        <f ca="1">ROUND(_xludf.IFS(L335="Cancelled", 0, L335="Returned", -0.1*H335, C335="Electronics", 0.14*H335, C335="Appliances", 0.16*H335, C335="Fashion", 0.26*H335, C335="Home &amp; Kitchen", 0.22*H335, C335="Beauty &amp; Personal Care", 0.3*H335, C335="Sports &amp; Fitness", 0.2*H335, TRUE, 0.15*H335), 2)</f>
        <v>#NAME?</v>
      </c>
      <c r="J335" s="19" t="s">
        <v>55</v>
      </c>
      <c r="K335" s="19" t="s">
        <v>47</v>
      </c>
      <c r="L335" s="16" t="s">
        <v>24</v>
      </c>
      <c r="M335" s="19" t="s">
        <v>52</v>
      </c>
    </row>
    <row r="336" spans="1:13" ht="12.75">
      <c r="A336" s="16" t="s">
        <v>491</v>
      </c>
      <c r="B336" s="17">
        <v>46134</v>
      </c>
      <c r="C336" s="19" t="s">
        <v>2</v>
      </c>
      <c r="D336" s="19" t="s">
        <v>82</v>
      </c>
      <c r="E336" s="3">
        <v>3</v>
      </c>
      <c r="F336" s="5">
        <v>650</v>
      </c>
      <c r="G336" s="4">
        <v>0.1</v>
      </c>
      <c r="H336" s="5">
        <f t="shared" si="1"/>
        <v>1755</v>
      </c>
      <c r="I336" s="7" t="e">
        <f ca="1">ROUND(_xludf.IFS(L336="Cancelled", 0, L336="Returned", -0.1*H336, C336="Electronics", 0.14*H336, C336="Appliances", 0.16*H336, C336="Fashion", 0.26*H336, C336="Home &amp; Kitchen", 0.22*H336, C336="Beauty &amp; Personal Care", 0.3*H336, C336="Sports &amp; Fitness", 0.2*H336, TRUE, 0.15*H336), 2)</f>
        <v>#NAME?</v>
      </c>
      <c r="J336" s="19" t="s">
        <v>60</v>
      </c>
      <c r="K336" s="19" t="s">
        <v>47</v>
      </c>
      <c r="L336" s="16" t="s">
        <v>24</v>
      </c>
      <c r="M336" s="19" t="s">
        <v>57</v>
      </c>
    </row>
    <row r="337" spans="1:13" ht="12.75">
      <c r="A337" s="16" t="s">
        <v>492</v>
      </c>
      <c r="B337" s="17">
        <v>46136</v>
      </c>
      <c r="C337" s="19" t="s">
        <v>7</v>
      </c>
      <c r="D337" s="19" t="s">
        <v>113</v>
      </c>
      <c r="E337" s="3">
        <v>2</v>
      </c>
      <c r="F337" s="5">
        <v>2199</v>
      </c>
      <c r="G337" s="4">
        <v>0.12</v>
      </c>
      <c r="H337" s="5">
        <f t="shared" si="1"/>
        <v>3870.24</v>
      </c>
      <c r="I337" s="7" t="e">
        <f ca="1">ROUND(_xludf.IFS(L337="Cancelled", 0, L337="Returned", -0.1*H337, C337="Electronics", 0.14*H337, C337="Appliances", 0.16*H337, C337="Fashion", 0.26*H337, C337="Home &amp; Kitchen", 0.22*H337, C337="Beauty &amp; Personal Care", 0.3*H337, C337="Sports &amp; Fitness", 0.2*H337, TRUE, 0.15*H337), 2)</f>
        <v>#NAME?</v>
      </c>
      <c r="J337" s="19" t="s">
        <v>46</v>
      </c>
      <c r="K337" s="19" t="s">
        <v>47</v>
      </c>
      <c r="L337" s="16" t="s">
        <v>24</v>
      </c>
      <c r="M337" s="19" t="s">
        <v>61</v>
      </c>
    </row>
    <row r="338" spans="1:13" ht="12.75">
      <c r="A338" s="16" t="s">
        <v>493</v>
      </c>
      <c r="B338" s="17">
        <v>46139</v>
      </c>
      <c r="C338" s="19" t="s">
        <v>5</v>
      </c>
      <c r="D338" s="19" t="s">
        <v>89</v>
      </c>
      <c r="E338" s="3">
        <v>1</v>
      </c>
      <c r="F338" s="5">
        <v>1249</v>
      </c>
      <c r="G338" s="4">
        <v>0.15</v>
      </c>
      <c r="H338" s="5">
        <f t="shared" si="1"/>
        <v>1061.6500000000001</v>
      </c>
      <c r="I338" s="7" t="e">
        <f ca="1">ROUND(_xludf.IFS(L338="Cancelled", 0, L338="Returned", -0.1*H338, C338="Electronics", 0.14*H338, C338="Appliances", 0.16*H338, C338="Fashion", 0.26*H338, C338="Home &amp; Kitchen", 0.22*H338, C338="Beauty &amp; Personal Care", 0.3*H338, C338="Sports &amp; Fitness", 0.2*H338, TRUE, 0.15*H338), 2)</f>
        <v>#NAME?</v>
      </c>
      <c r="J338" s="19" t="s">
        <v>46</v>
      </c>
      <c r="K338" s="19" t="s">
        <v>56</v>
      </c>
      <c r="L338" s="16" t="s">
        <v>24</v>
      </c>
      <c r="M338" s="19" t="s">
        <v>109</v>
      </c>
    </row>
    <row r="339" spans="1:13" ht="12.75">
      <c r="A339" s="16" t="s">
        <v>494</v>
      </c>
      <c r="B339" s="17">
        <v>46141</v>
      </c>
      <c r="C339" s="19" t="s">
        <v>6</v>
      </c>
      <c r="D339" s="19" t="s">
        <v>17</v>
      </c>
      <c r="E339" s="3">
        <v>1</v>
      </c>
      <c r="F339" s="5">
        <v>19999</v>
      </c>
      <c r="G339" s="4">
        <v>0.08</v>
      </c>
      <c r="H339" s="5">
        <f t="shared" si="1"/>
        <v>18399.080000000002</v>
      </c>
      <c r="I339" s="7" t="e">
        <f ca="1">ROUND(_xludf.IFS(L339="Cancelled", 0, L339="Returned", -0.1*H339, C339="Electronics", 0.14*H339, C339="Appliances", 0.16*H339, C339="Fashion", 0.26*H339, C339="Home &amp; Kitchen", 0.22*H339, C339="Beauty &amp; Personal Care", 0.3*H339, C339="Sports &amp; Fitness", 0.2*H339, TRUE, 0.15*H339), 2)</f>
        <v>#NAME?</v>
      </c>
      <c r="J339" s="19" t="s">
        <v>51</v>
      </c>
      <c r="K339" s="19" t="s">
        <v>47</v>
      </c>
      <c r="L339" s="16" t="s">
        <v>24</v>
      </c>
      <c r="M339" s="19" t="s">
        <v>48</v>
      </c>
    </row>
    <row r="340" spans="1:13" ht="12.75">
      <c r="A340" s="16" t="s">
        <v>495</v>
      </c>
      <c r="B340" s="17">
        <v>46144</v>
      </c>
      <c r="C340" s="19" t="s">
        <v>4</v>
      </c>
      <c r="D340" s="19" t="s">
        <v>31</v>
      </c>
      <c r="E340" s="3">
        <v>1</v>
      </c>
      <c r="F340" s="5">
        <v>3499</v>
      </c>
      <c r="G340" s="4">
        <v>0.22</v>
      </c>
      <c r="H340" s="5">
        <f t="shared" si="1"/>
        <v>2729.22</v>
      </c>
      <c r="I340" s="7" t="e">
        <f ca="1">ROUND(_xludf.IFS(L340="Cancelled", 0, L340="Returned", -0.1*H340, C340="Electronics", 0.14*H340, C340="Appliances", 0.16*H340, C340="Fashion", 0.26*H340, C340="Home &amp; Kitchen", 0.22*H340, C340="Beauty &amp; Personal Care", 0.3*H340, C340="Sports &amp; Fitness", 0.2*H340, TRUE, 0.15*H340), 2)</f>
        <v>#NAME?</v>
      </c>
      <c r="J340" s="19" t="s">
        <v>51</v>
      </c>
      <c r="K340" s="19" t="s">
        <v>56</v>
      </c>
      <c r="L340" s="16" t="s">
        <v>23</v>
      </c>
      <c r="M340" s="19" t="s">
        <v>64</v>
      </c>
    </row>
    <row r="341" spans="1:13" ht="12.75">
      <c r="A341" s="16" t="s">
        <v>496</v>
      </c>
      <c r="B341" s="17">
        <v>46146</v>
      </c>
      <c r="C341" s="19" t="s">
        <v>3</v>
      </c>
      <c r="D341" s="19" t="s">
        <v>103</v>
      </c>
      <c r="E341" s="3">
        <v>1</v>
      </c>
      <c r="F341" s="5">
        <v>1750</v>
      </c>
      <c r="G341" s="4">
        <v>0.1</v>
      </c>
      <c r="H341" s="5">
        <f t="shared" si="1"/>
        <v>1575</v>
      </c>
      <c r="I341" s="7" t="e">
        <f ca="1">ROUND(_xludf.IFS(L341="Cancelled", 0, L341="Returned", -0.1*H341, C341="Electronics", 0.14*H341, C341="Appliances", 0.16*H341, C341="Fashion", 0.26*H341, C341="Home &amp; Kitchen", 0.22*H341, C341="Beauty &amp; Personal Care", 0.3*H341, C341="Sports &amp; Fitness", 0.2*H341, TRUE, 0.15*H341), 2)</f>
        <v>#NAME?</v>
      </c>
      <c r="J341" s="19" t="s">
        <v>79</v>
      </c>
      <c r="K341" s="19" t="s">
        <v>47</v>
      </c>
      <c r="L341" s="16" t="s">
        <v>24</v>
      </c>
      <c r="M341" s="19" t="s">
        <v>52</v>
      </c>
    </row>
    <row r="342" spans="1:13" ht="12.75">
      <c r="A342" s="16" t="s">
        <v>497</v>
      </c>
      <c r="B342" s="17">
        <v>46149</v>
      </c>
      <c r="C342" s="19" t="s">
        <v>2</v>
      </c>
      <c r="D342" s="19" t="s">
        <v>94</v>
      </c>
      <c r="E342" s="3">
        <v>2</v>
      </c>
      <c r="F342" s="5">
        <v>599</v>
      </c>
      <c r="G342" s="4">
        <v>0.12</v>
      </c>
      <c r="H342" s="5">
        <f t="shared" si="1"/>
        <v>1054.24</v>
      </c>
      <c r="I342" s="7" t="e">
        <f ca="1">ROUND(_xludf.IFS(L342="Cancelled", 0, L342="Returned", -0.1*H342, C342="Electronics", 0.14*H342, C342="Appliances", 0.16*H342, C342="Fashion", 0.26*H342, C342="Home &amp; Kitchen", 0.22*H342, C342="Beauty &amp; Personal Care", 0.3*H342, C342="Sports &amp; Fitness", 0.2*H342, TRUE, 0.15*H342), 2)</f>
        <v>#NAME?</v>
      </c>
      <c r="J342" s="19" t="s">
        <v>46</v>
      </c>
      <c r="K342" s="19" t="s">
        <v>47</v>
      </c>
      <c r="L342" s="16" t="s">
        <v>24</v>
      </c>
      <c r="M342" s="19" t="s">
        <v>80</v>
      </c>
    </row>
    <row r="343" spans="1:13" ht="12.75">
      <c r="A343" s="16" t="s">
        <v>498</v>
      </c>
      <c r="B343" s="17">
        <v>46151</v>
      </c>
      <c r="C343" s="19" t="s">
        <v>7</v>
      </c>
      <c r="D343" s="19" t="s">
        <v>130</v>
      </c>
      <c r="E343" s="3">
        <v>1</v>
      </c>
      <c r="F343" s="5">
        <v>14999</v>
      </c>
      <c r="G343" s="4">
        <v>0.15</v>
      </c>
      <c r="H343" s="5">
        <f t="shared" si="1"/>
        <v>12749.15</v>
      </c>
      <c r="I343" s="7" t="e">
        <f ca="1">ROUND(_xludf.IFS(L343="Cancelled", 0, L343="Returned", -0.1*H343, C343="Electronics", 0.14*H343, C343="Appliances", 0.16*H343, C343="Fashion", 0.26*H343, C343="Home &amp; Kitchen", 0.22*H343, C343="Beauty &amp; Personal Care", 0.3*H343, C343="Sports &amp; Fitness", 0.2*H343, TRUE, 0.15*H343), 2)</f>
        <v>#NAME?</v>
      </c>
      <c r="J343" s="19" t="s">
        <v>51</v>
      </c>
      <c r="K343" s="19" t="s">
        <v>47</v>
      </c>
      <c r="L343" s="16" t="s">
        <v>24</v>
      </c>
      <c r="M343" s="19" t="s">
        <v>67</v>
      </c>
    </row>
    <row r="344" spans="1:13" ht="12.75">
      <c r="A344" s="16" t="s">
        <v>499</v>
      </c>
      <c r="B344" s="17">
        <v>46154</v>
      </c>
      <c r="C344" s="19" t="s">
        <v>5</v>
      </c>
      <c r="D344" s="19" t="s">
        <v>108</v>
      </c>
      <c r="E344" s="3">
        <v>2</v>
      </c>
      <c r="F344" s="5">
        <v>480</v>
      </c>
      <c r="G344" s="4">
        <v>0.05</v>
      </c>
      <c r="H344" s="5">
        <f t="shared" si="1"/>
        <v>912</v>
      </c>
      <c r="I344" s="7" t="e">
        <f ca="1">ROUND(_xludf.IFS(L344="Cancelled", 0, L344="Returned", -0.1*H344, C344="Electronics", 0.14*H344, C344="Appliances", 0.16*H344, C344="Fashion", 0.26*H344, C344="Home &amp; Kitchen", 0.22*H344, C344="Beauty &amp; Personal Care", 0.3*H344, C344="Sports &amp; Fitness", 0.2*H344, TRUE, 0.15*H344), 2)</f>
        <v>#NAME?</v>
      </c>
      <c r="J344" s="19" t="s">
        <v>46</v>
      </c>
      <c r="K344" s="19" t="s">
        <v>47</v>
      </c>
      <c r="L344" s="16" t="s">
        <v>24</v>
      </c>
      <c r="M344" s="19" t="s">
        <v>70</v>
      </c>
    </row>
    <row r="345" spans="1:13" ht="12.75">
      <c r="A345" s="16" t="s">
        <v>500</v>
      </c>
      <c r="B345" s="17">
        <v>46156</v>
      </c>
      <c r="C345" s="19" t="s">
        <v>6</v>
      </c>
      <c r="D345" s="19" t="s">
        <v>78</v>
      </c>
      <c r="E345" s="3">
        <v>1</v>
      </c>
      <c r="F345" s="5">
        <v>1799</v>
      </c>
      <c r="G345" s="4">
        <v>0.18</v>
      </c>
      <c r="H345" s="5">
        <f t="shared" si="1"/>
        <v>1475.18</v>
      </c>
      <c r="I345" s="7" t="e">
        <f ca="1">ROUND(_xludf.IFS(L345="Cancelled", 0, L345="Returned", -0.1*H345, C345="Electronics", 0.14*H345, C345="Appliances", 0.16*H345, C345="Fashion", 0.26*H345, C345="Home &amp; Kitchen", 0.22*H345, C345="Beauty &amp; Personal Care", 0.3*H345, C345="Sports &amp; Fitness", 0.2*H345, TRUE, 0.15*H345), 2)</f>
        <v>#NAME?</v>
      </c>
      <c r="J345" s="19" t="s">
        <v>66</v>
      </c>
      <c r="K345" s="19" t="s">
        <v>47</v>
      </c>
      <c r="L345" s="16" t="s">
        <v>24</v>
      </c>
      <c r="M345" s="19" t="s">
        <v>48</v>
      </c>
    </row>
    <row r="346" spans="1:13" ht="12.75">
      <c r="A346" s="16" t="s">
        <v>501</v>
      </c>
      <c r="B346" s="17">
        <v>46159</v>
      </c>
      <c r="C346" s="19" t="s">
        <v>4</v>
      </c>
      <c r="D346" s="19" t="s">
        <v>101</v>
      </c>
      <c r="E346" s="3">
        <v>2</v>
      </c>
      <c r="F346" s="5">
        <v>1199</v>
      </c>
      <c r="G346" s="4">
        <v>0.25</v>
      </c>
      <c r="H346" s="5">
        <f t="shared" si="1"/>
        <v>1798.5</v>
      </c>
      <c r="I346" s="7" t="e">
        <f ca="1">ROUND(_xludf.IFS(L346="Cancelled", 0, L346="Returned", -0.1*H346, C346="Electronics", 0.14*H346, C346="Appliances", 0.16*H346, C346="Fashion", 0.26*H346, C346="Home &amp; Kitchen", 0.22*H346, C346="Beauty &amp; Personal Care", 0.3*H346, C346="Sports &amp; Fitness", 0.2*H346, TRUE, 0.15*H346), 2)</f>
        <v>#NAME?</v>
      </c>
      <c r="J346" s="19" t="s">
        <v>60</v>
      </c>
      <c r="K346" s="19" t="s">
        <v>47</v>
      </c>
      <c r="L346" s="16" t="s">
        <v>24</v>
      </c>
      <c r="M346" s="19" t="s">
        <v>64</v>
      </c>
    </row>
    <row r="347" spans="1:13" ht="12.75">
      <c r="A347" s="16" t="s">
        <v>502</v>
      </c>
      <c r="B347" s="17">
        <v>46161</v>
      </c>
      <c r="C347" s="19" t="s">
        <v>3</v>
      </c>
      <c r="D347" s="19" t="s">
        <v>120</v>
      </c>
      <c r="E347" s="3">
        <v>1</v>
      </c>
      <c r="F347" s="5">
        <v>995</v>
      </c>
      <c r="G347" s="4">
        <v>0.1</v>
      </c>
      <c r="H347" s="5">
        <f t="shared" si="1"/>
        <v>895.5</v>
      </c>
      <c r="I347" s="7" t="e">
        <f ca="1">ROUND(_xludf.IFS(L347="Cancelled", 0, L347="Returned", -0.1*H347, C347="Electronics", 0.14*H347, C347="Appliances", 0.16*H347, C347="Fashion", 0.26*H347, C347="Home &amp; Kitchen", 0.22*H347, C347="Beauty &amp; Personal Care", 0.3*H347, C347="Sports &amp; Fitness", 0.2*H347, TRUE, 0.15*H347), 2)</f>
        <v>#NAME?</v>
      </c>
      <c r="J347" s="19" t="s">
        <v>55</v>
      </c>
      <c r="K347" s="19" t="s">
        <v>47</v>
      </c>
      <c r="L347" s="16" t="s">
        <v>24</v>
      </c>
      <c r="M347" s="19" t="s">
        <v>73</v>
      </c>
    </row>
    <row r="348" spans="1:13" ht="12.75">
      <c r="A348" s="16" t="s">
        <v>503</v>
      </c>
      <c r="B348" s="17">
        <v>46164</v>
      </c>
      <c r="C348" s="19" t="s">
        <v>2</v>
      </c>
      <c r="D348" s="19" t="s">
        <v>105</v>
      </c>
      <c r="E348" s="3">
        <v>2</v>
      </c>
      <c r="F348" s="5">
        <v>499</v>
      </c>
      <c r="G348" s="4">
        <v>0.15</v>
      </c>
      <c r="H348" s="5">
        <f t="shared" si="1"/>
        <v>848.3</v>
      </c>
      <c r="I348" s="7" t="e">
        <f ca="1">ROUND(_xludf.IFS(L348="Cancelled", 0, L348="Returned", -0.1*H348, C348="Electronics", 0.14*H348, C348="Appliances", 0.16*H348, C348="Fashion", 0.26*H348, C348="Home &amp; Kitchen", 0.22*H348, C348="Beauty &amp; Personal Care", 0.3*H348, C348="Sports &amp; Fitness", 0.2*H348, TRUE, 0.15*H348), 2)</f>
        <v>#NAME?</v>
      </c>
      <c r="J348" s="19" t="s">
        <v>60</v>
      </c>
      <c r="K348" s="19" t="s">
        <v>56</v>
      </c>
      <c r="L348" s="16" t="s">
        <v>26</v>
      </c>
      <c r="M348" s="19" t="s">
        <v>61</v>
      </c>
    </row>
    <row r="349" spans="1:13" ht="12.75">
      <c r="A349" s="16" t="s">
        <v>504</v>
      </c>
      <c r="B349" s="17">
        <v>46166</v>
      </c>
      <c r="C349" s="19" t="s">
        <v>7</v>
      </c>
      <c r="D349" s="19" t="s">
        <v>140</v>
      </c>
      <c r="E349" s="3">
        <v>1</v>
      </c>
      <c r="F349" s="5">
        <v>6299</v>
      </c>
      <c r="G349" s="4">
        <v>0.18</v>
      </c>
      <c r="H349" s="5">
        <f t="shared" si="1"/>
        <v>5165.18</v>
      </c>
      <c r="I349" s="7" t="e">
        <f ca="1">ROUND(_xludf.IFS(L349="Cancelled", 0, L349="Returned", -0.1*H349, C349="Electronics", 0.14*H349, C349="Appliances", 0.16*H349, C349="Fashion", 0.26*H349, C349="Home &amp; Kitchen", 0.22*H349, C349="Beauty &amp; Personal Care", 0.3*H349, C349="Sports &amp; Fitness", 0.2*H349, TRUE, 0.15*H349), 2)</f>
        <v>#NAME?</v>
      </c>
      <c r="J349" s="19" t="s">
        <v>51</v>
      </c>
      <c r="K349" s="19" t="s">
        <v>47</v>
      </c>
      <c r="L349" s="16" t="s">
        <v>24</v>
      </c>
      <c r="M349" s="19" t="s">
        <v>52</v>
      </c>
    </row>
    <row r="350" spans="1:13" ht="12.75">
      <c r="A350" s="16" t="s">
        <v>505</v>
      </c>
      <c r="B350" s="17">
        <v>46169</v>
      </c>
      <c r="C350" s="19" t="s">
        <v>5</v>
      </c>
      <c r="D350" s="19" t="s">
        <v>124</v>
      </c>
      <c r="E350" s="3">
        <v>2</v>
      </c>
      <c r="F350" s="5">
        <v>699</v>
      </c>
      <c r="G350" s="4">
        <v>0.15</v>
      </c>
      <c r="H350" s="5">
        <f t="shared" si="1"/>
        <v>1188.3</v>
      </c>
      <c r="I350" s="7" t="e">
        <f ca="1">ROUND(_xludf.IFS(L350="Cancelled", 0, L350="Returned", -0.1*H350, C350="Electronics", 0.14*H350, C350="Appliances", 0.16*H350, C350="Fashion", 0.26*H350, C350="Home &amp; Kitchen", 0.22*H350, C350="Beauty &amp; Personal Care", 0.3*H350, C350="Sports &amp; Fitness", 0.2*H350, TRUE, 0.15*H350), 2)</f>
        <v>#NAME?</v>
      </c>
      <c r="J350" s="19" t="s">
        <v>46</v>
      </c>
      <c r="K350" s="19" t="s">
        <v>56</v>
      </c>
      <c r="L350" s="16" t="s">
        <v>24</v>
      </c>
      <c r="M350" s="19" t="s">
        <v>57</v>
      </c>
    </row>
    <row r="351" spans="1:13" ht="12.75">
      <c r="A351" s="16" t="s">
        <v>506</v>
      </c>
      <c r="B351" s="17">
        <v>46171</v>
      </c>
      <c r="C351" s="19" t="s">
        <v>6</v>
      </c>
      <c r="D351" s="19" t="s">
        <v>87</v>
      </c>
      <c r="E351" s="3">
        <v>2</v>
      </c>
      <c r="F351" s="5">
        <v>2495</v>
      </c>
      <c r="G351" s="4">
        <v>0.12</v>
      </c>
      <c r="H351" s="5">
        <f t="shared" si="1"/>
        <v>4391.2</v>
      </c>
      <c r="I351" s="7" t="e">
        <f ca="1">ROUND(_xludf.IFS(L351="Cancelled", 0, L351="Returned", -0.1*H351, C351="Electronics", 0.14*H351, C351="Appliances", 0.16*H351, C351="Fashion", 0.26*H351, C351="Home &amp; Kitchen", 0.22*H351, C351="Beauty &amp; Personal Care", 0.3*H351, C351="Sports &amp; Fitness", 0.2*H351, TRUE, 0.15*H351), 2)</f>
        <v>#NAME?</v>
      </c>
      <c r="J351" s="19" t="s">
        <v>66</v>
      </c>
      <c r="K351" s="19" t="s">
        <v>47</v>
      </c>
      <c r="L351" s="16" t="s">
        <v>24</v>
      </c>
      <c r="M351" s="19" t="s">
        <v>48</v>
      </c>
    </row>
    <row r="352" spans="1:13" ht="12.75">
      <c r="A352" s="16" t="s">
        <v>507</v>
      </c>
      <c r="B352" s="17">
        <v>46174</v>
      </c>
      <c r="C352" s="19" t="s">
        <v>4</v>
      </c>
      <c r="D352" s="19" t="s">
        <v>116</v>
      </c>
      <c r="E352" s="3">
        <v>1</v>
      </c>
      <c r="F352" s="5">
        <v>1899</v>
      </c>
      <c r="G352" s="4">
        <v>0.3</v>
      </c>
      <c r="H352" s="5">
        <f t="shared" si="1"/>
        <v>1329.3</v>
      </c>
      <c r="I352" s="7" t="e">
        <f ca="1">ROUND(_xludf.IFS(L352="Cancelled", 0, L352="Returned", -0.1*H352, C352="Electronics", 0.14*H352, C352="Appliances", 0.16*H352, C352="Fashion", 0.26*H352, C352="Home &amp; Kitchen", 0.22*H352, C352="Beauty &amp; Personal Care", 0.3*H352, C352="Sports &amp; Fitness", 0.2*H352, TRUE, 0.15*H352), 2)</f>
        <v>#NAME?</v>
      </c>
      <c r="J352" s="19" t="s">
        <v>46</v>
      </c>
      <c r="K352" s="19" t="s">
        <v>56</v>
      </c>
      <c r="L352" s="16" t="s">
        <v>24</v>
      </c>
      <c r="M352" s="19" t="s">
        <v>64</v>
      </c>
    </row>
    <row r="353" spans="1:13" ht="12.75">
      <c r="A353" s="16" t="s">
        <v>508</v>
      </c>
      <c r="B353" s="17">
        <v>46176</v>
      </c>
      <c r="C353" s="19" t="s">
        <v>3</v>
      </c>
      <c r="D353" s="19" t="s">
        <v>132</v>
      </c>
      <c r="E353" s="3">
        <v>2</v>
      </c>
      <c r="F353" s="5">
        <v>449</v>
      </c>
      <c r="G353" s="4">
        <v>0.1</v>
      </c>
      <c r="H353" s="5">
        <f t="shared" si="1"/>
        <v>808.2</v>
      </c>
      <c r="I353" s="7" t="e">
        <f ca="1">ROUND(_xludf.IFS(L353="Cancelled", 0, L353="Returned", -0.1*H353, C353="Electronics", 0.14*H353, C353="Appliances", 0.16*H353, C353="Fashion", 0.26*H353, C353="Home &amp; Kitchen", 0.22*H353, C353="Beauty &amp; Personal Care", 0.3*H353, C353="Sports &amp; Fitness", 0.2*H353, TRUE, 0.15*H353), 2)</f>
        <v>#NAME?</v>
      </c>
      <c r="J353" s="19" t="s">
        <v>66</v>
      </c>
      <c r="K353" s="19" t="s">
        <v>47</v>
      </c>
      <c r="L353" s="16" t="s">
        <v>24</v>
      </c>
      <c r="M353" s="19" t="s">
        <v>52</v>
      </c>
    </row>
    <row r="354" spans="1:13" ht="12.75">
      <c r="A354" s="16" t="s">
        <v>509</v>
      </c>
      <c r="B354" s="17">
        <v>46178</v>
      </c>
      <c r="C354" s="19" t="s">
        <v>2</v>
      </c>
      <c r="D354" s="19" t="s">
        <v>122</v>
      </c>
      <c r="E354" s="3">
        <v>3</v>
      </c>
      <c r="F354" s="5">
        <v>549</v>
      </c>
      <c r="G354" s="4">
        <v>0.05</v>
      </c>
      <c r="H354" s="5">
        <f t="shared" si="1"/>
        <v>1564.65</v>
      </c>
      <c r="I354" s="7" t="e">
        <f ca="1">ROUND(_xludf.IFS(L354="Cancelled", 0, L354="Returned", -0.1*H354, C354="Electronics", 0.14*H354, C354="Appliances", 0.16*H354, C354="Fashion", 0.26*H354, C354="Home &amp; Kitchen", 0.22*H354, C354="Beauty &amp; Personal Care", 0.3*H354, C354="Sports &amp; Fitness", 0.2*H354, TRUE, 0.15*H354), 2)</f>
        <v>#NAME?</v>
      </c>
      <c r="J354" s="19" t="s">
        <v>46</v>
      </c>
      <c r="K354" s="19" t="s">
        <v>47</v>
      </c>
      <c r="L354" s="16" t="s">
        <v>24</v>
      </c>
      <c r="M354" s="19" t="s">
        <v>57</v>
      </c>
    </row>
    <row r="355" spans="1:13" ht="12.75">
      <c r="A355" s="16" t="s">
        <v>510</v>
      </c>
      <c r="B355" s="17">
        <v>46181</v>
      </c>
      <c r="C355" s="19" t="s">
        <v>7</v>
      </c>
      <c r="D355" s="19" t="s">
        <v>15</v>
      </c>
      <c r="E355" s="3">
        <v>1</v>
      </c>
      <c r="F355" s="5">
        <v>27490</v>
      </c>
      <c r="G355" s="4">
        <v>0.15</v>
      </c>
      <c r="H355" s="5">
        <f t="shared" si="1"/>
        <v>23366.5</v>
      </c>
      <c r="I355" s="7" t="e">
        <f ca="1">ROUND(_xludf.IFS(L355="Cancelled", 0, L355="Returned", -0.1*H355, C355="Electronics", 0.14*H355, C355="Appliances", 0.16*H355, C355="Fashion", 0.26*H355, C355="Home &amp; Kitchen", 0.22*H355, C355="Beauty &amp; Personal Care", 0.3*H355, C355="Sports &amp; Fitness", 0.2*H355, TRUE, 0.15*H355), 2)</f>
        <v>#NAME?</v>
      </c>
      <c r="J355" s="19" t="s">
        <v>51</v>
      </c>
      <c r="K355" s="19" t="s">
        <v>47</v>
      </c>
      <c r="L355" s="16" t="s">
        <v>24</v>
      </c>
      <c r="M355" s="19" t="s">
        <v>48</v>
      </c>
    </row>
    <row r="356" spans="1:13" ht="12.75">
      <c r="A356" s="16" t="s">
        <v>511</v>
      </c>
      <c r="B356" s="17">
        <v>46183</v>
      </c>
      <c r="C356" s="19" t="s">
        <v>5</v>
      </c>
      <c r="D356" s="19" t="s">
        <v>138</v>
      </c>
      <c r="E356" s="3">
        <v>2</v>
      </c>
      <c r="F356" s="5">
        <v>599</v>
      </c>
      <c r="G356" s="4">
        <v>0.1</v>
      </c>
      <c r="H356" s="5">
        <f t="shared" si="1"/>
        <v>1078.2</v>
      </c>
      <c r="I356" s="7" t="e">
        <f ca="1">ROUND(_xludf.IFS(L356="Cancelled", 0, L356="Returned", -0.1*H356, C356="Electronics", 0.14*H356, C356="Appliances", 0.16*H356, C356="Fashion", 0.26*H356, C356="Home &amp; Kitchen", 0.22*H356, C356="Beauty &amp; Personal Care", 0.3*H356, C356="Sports &amp; Fitness", 0.2*H356, TRUE, 0.15*H356), 2)</f>
        <v>#NAME?</v>
      </c>
      <c r="J356" s="19" t="s">
        <v>46</v>
      </c>
      <c r="K356" s="19" t="s">
        <v>47</v>
      </c>
      <c r="L356" s="16" t="s">
        <v>24</v>
      </c>
      <c r="M356" s="19" t="s">
        <v>67</v>
      </c>
    </row>
    <row r="357" spans="1:13" ht="12.75">
      <c r="A357" s="16" t="s">
        <v>512</v>
      </c>
      <c r="B357" s="17">
        <v>46186</v>
      </c>
      <c r="C357" s="19" t="s">
        <v>6</v>
      </c>
      <c r="D357" s="19" t="s">
        <v>96</v>
      </c>
      <c r="E357" s="3">
        <v>2</v>
      </c>
      <c r="F357" s="5">
        <v>1399</v>
      </c>
      <c r="G357" s="4">
        <v>0.2</v>
      </c>
      <c r="H357" s="5">
        <f t="shared" si="1"/>
        <v>2238.4</v>
      </c>
      <c r="I357" s="7" t="e">
        <f ca="1">ROUND(_xludf.IFS(L357="Cancelled", 0, L357="Returned", -0.1*H357, C357="Electronics", 0.14*H357, C357="Appliances", 0.16*H357, C357="Fashion", 0.26*H357, C357="Home &amp; Kitchen", 0.22*H357, C357="Beauty &amp; Personal Care", 0.3*H357, C357="Sports &amp; Fitness", 0.2*H357, TRUE, 0.15*H357), 2)</f>
        <v>#NAME?</v>
      </c>
      <c r="J357" s="19" t="s">
        <v>51</v>
      </c>
      <c r="K357" s="19" t="s">
        <v>56</v>
      </c>
      <c r="L357" s="16" t="s">
        <v>24</v>
      </c>
      <c r="M357" s="19" t="s">
        <v>73</v>
      </c>
    </row>
    <row r="358" spans="1:13" ht="12.75">
      <c r="A358" s="16" t="s">
        <v>513</v>
      </c>
      <c r="B358" s="17">
        <v>46188</v>
      </c>
      <c r="C358" s="19" t="s">
        <v>4</v>
      </c>
      <c r="D358" s="19" t="s">
        <v>128</v>
      </c>
      <c r="E358" s="3">
        <v>1</v>
      </c>
      <c r="F358" s="5">
        <v>1699</v>
      </c>
      <c r="G358" s="4">
        <v>0.32</v>
      </c>
      <c r="H358" s="5">
        <f t="shared" si="1"/>
        <v>1155.32</v>
      </c>
      <c r="I358" s="7" t="e">
        <f ca="1">ROUND(_xludf.IFS(L358="Cancelled", 0, L358="Returned", -0.1*H358, C358="Electronics", 0.14*H358, C358="Appliances", 0.16*H358, C358="Fashion", 0.26*H358, C358="Home &amp; Kitchen", 0.22*H358, C358="Beauty &amp; Personal Care", 0.3*H358, C358="Sports &amp; Fitness", 0.2*H358, TRUE, 0.15*H358), 2)</f>
        <v>#NAME?</v>
      </c>
      <c r="J358" s="19" t="s">
        <v>46</v>
      </c>
      <c r="K358" s="19" t="s">
        <v>47</v>
      </c>
      <c r="L358" s="16" t="s">
        <v>24</v>
      </c>
      <c r="M358" s="19" t="s">
        <v>76</v>
      </c>
    </row>
    <row r="359" spans="1:13" ht="12.75">
      <c r="A359" s="16" t="s">
        <v>514</v>
      </c>
      <c r="B359" s="17">
        <v>46191</v>
      </c>
      <c r="C359" s="19" t="s">
        <v>3</v>
      </c>
      <c r="D359" s="19" t="s">
        <v>144</v>
      </c>
      <c r="E359" s="3">
        <v>3</v>
      </c>
      <c r="F359" s="5">
        <v>349</v>
      </c>
      <c r="G359" s="4">
        <v>0.1</v>
      </c>
      <c r="H359" s="5">
        <f t="shared" si="1"/>
        <v>942.3</v>
      </c>
      <c r="I359" s="7" t="e">
        <f ca="1">ROUND(_xludf.IFS(L359="Cancelled", 0, L359="Returned", -0.1*H359, C359="Electronics", 0.14*H359, C359="Appliances", 0.16*H359, C359="Fashion", 0.26*H359, C359="Home &amp; Kitchen", 0.22*H359, C359="Beauty &amp; Personal Care", 0.3*H359, C359="Sports &amp; Fitness", 0.2*H359, TRUE, 0.15*H359), 2)</f>
        <v>#NAME?</v>
      </c>
      <c r="J359" s="19" t="s">
        <v>60</v>
      </c>
      <c r="K359" s="19" t="s">
        <v>47</v>
      </c>
      <c r="L359" s="16" t="s">
        <v>24</v>
      </c>
      <c r="M359" s="19" t="s">
        <v>64</v>
      </c>
    </row>
    <row r="360" spans="1:13" ht="12.75">
      <c r="A360" s="16" t="s">
        <v>515</v>
      </c>
      <c r="B360" s="17">
        <v>46193</v>
      </c>
      <c r="C360" s="19" t="s">
        <v>2</v>
      </c>
      <c r="D360" s="19" t="s">
        <v>136</v>
      </c>
      <c r="E360" s="3">
        <v>1</v>
      </c>
      <c r="F360" s="5">
        <v>1475</v>
      </c>
      <c r="G360" s="4">
        <v>0.05</v>
      </c>
      <c r="H360" s="5">
        <f t="shared" si="1"/>
        <v>1401.25</v>
      </c>
      <c r="I360" s="7" t="e">
        <f ca="1">ROUND(_xludf.IFS(L360="Cancelled", 0, L360="Returned", -0.1*H360, C360="Electronics", 0.14*H360, C360="Appliances", 0.16*H360, C360="Fashion", 0.26*H360, C360="Home &amp; Kitchen", 0.22*H360, C360="Beauty &amp; Personal Care", 0.3*H360, C360="Sports &amp; Fitness", 0.2*H360, TRUE, 0.15*H360), 2)</f>
        <v>#NAME?</v>
      </c>
      <c r="J360" s="19" t="s">
        <v>55</v>
      </c>
      <c r="K360" s="19" t="s">
        <v>47</v>
      </c>
      <c r="L360" s="16" t="s">
        <v>24</v>
      </c>
      <c r="M360" s="19" t="s">
        <v>52</v>
      </c>
    </row>
    <row r="361" spans="1:13" ht="12.75">
      <c r="A361" s="16" t="s">
        <v>516</v>
      </c>
      <c r="B361" s="17">
        <v>46196</v>
      </c>
      <c r="C361" s="19" t="s">
        <v>7</v>
      </c>
      <c r="D361" s="19" t="s">
        <v>14</v>
      </c>
      <c r="E361" s="3">
        <v>1</v>
      </c>
      <c r="F361" s="5">
        <v>23990</v>
      </c>
      <c r="G361" s="4">
        <v>0.15</v>
      </c>
      <c r="H361" s="5">
        <f t="shared" si="1"/>
        <v>20391.5</v>
      </c>
      <c r="I361" s="7" t="e">
        <f ca="1">ROUND(_xludf.IFS(L361="Cancelled", 0, L361="Returned", -0.1*H361, C361="Electronics", 0.14*H361, C361="Appliances", 0.16*H361, C361="Fashion", 0.26*H361, C361="Home &amp; Kitchen", 0.22*H361, C361="Beauty &amp; Personal Care", 0.3*H361, C361="Sports &amp; Fitness", 0.2*H361, TRUE, 0.15*H361), 2)</f>
        <v>#NAME?</v>
      </c>
      <c r="J361" s="19" t="s">
        <v>51</v>
      </c>
      <c r="K361" s="19" t="s">
        <v>47</v>
      </c>
      <c r="L361" s="16" t="s">
        <v>24</v>
      </c>
      <c r="M361" s="19" t="s">
        <v>48</v>
      </c>
    </row>
    <row r="362" spans="1:13" ht="12.75">
      <c r="A362" s="16" t="s">
        <v>517</v>
      </c>
      <c r="B362" s="17">
        <v>46198</v>
      </c>
      <c r="C362" s="19" t="s">
        <v>5</v>
      </c>
      <c r="D362" s="19" t="s">
        <v>11</v>
      </c>
      <c r="E362" s="3">
        <v>1</v>
      </c>
      <c r="F362" s="5">
        <v>28990</v>
      </c>
      <c r="G362" s="4">
        <v>0.22</v>
      </c>
      <c r="H362" s="5">
        <f t="shared" si="1"/>
        <v>22612.2</v>
      </c>
      <c r="I362" s="7" t="e">
        <f ca="1">ROUND(_xludf.IFS(L362="Cancelled", 0, L362="Returned", -0.1*H362, C362="Electronics", 0.14*H362, C362="Appliances", 0.16*H362, C362="Fashion", 0.26*H362, C362="Home &amp; Kitchen", 0.22*H362, C362="Beauty &amp; Personal Care", 0.3*H362, C362="Sports &amp; Fitness", 0.2*H362, TRUE, 0.15*H362), 2)</f>
        <v>#NAME?</v>
      </c>
      <c r="J362" s="19" t="s">
        <v>51</v>
      </c>
      <c r="K362" s="19" t="s">
        <v>56</v>
      </c>
      <c r="L362" s="16" t="s">
        <v>24</v>
      </c>
      <c r="M362" s="19" t="s">
        <v>70</v>
      </c>
    </row>
    <row r="363" spans="1:13" ht="12.75">
      <c r="A363" s="16" t="s">
        <v>518</v>
      </c>
      <c r="B363" s="17">
        <v>46201</v>
      </c>
      <c r="C363" s="19" t="s">
        <v>6</v>
      </c>
      <c r="D363" s="19" t="s">
        <v>19</v>
      </c>
      <c r="E363" s="3">
        <v>1</v>
      </c>
      <c r="F363" s="5">
        <v>16999</v>
      </c>
      <c r="G363" s="4">
        <v>0.15</v>
      </c>
      <c r="H363" s="5">
        <f t="shared" si="1"/>
        <v>14449.15</v>
      </c>
      <c r="I363" s="7" t="e">
        <f ca="1">ROUND(_xludf.IFS(L363="Cancelled", 0, L363="Returned", -0.1*H363, C363="Electronics", 0.14*H363, C363="Appliances", 0.16*H363, C363="Fashion", 0.26*H363, C363="Home &amp; Kitchen", 0.22*H363, C363="Beauty &amp; Personal Care", 0.3*H363, C363="Sports &amp; Fitness", 0.2*H363, TRUE, 0.15*H363), 2)</f>
        <v>#NAME?</v>
      </c>
      <c r="J363" s="19" t="s">
        <v>66</v>
      </c>
      <c r="K363" s="19" t="s">
        <v>47</v>
      </c>
      <c r="L363" s="16" t="s">
        <v>24</v>
      </c>
      <c r="M363" s="19" t="s">
        <v>57</v>
      </c>
    </row>
    <row r="364" spans="1:13" ht="12.75">
      <c r="A364" s="16" t="s">
        <v>519</v>
      </c>
      <c r="B364" s="17">
        <v>46203</v>
      </c>
      <c r="C364" s="19" t="s">
        <v>4</v>
      </c>
      <c r="D364" s="19" t="s">
        <v>32</v>
      </c>
      <c r="E364" s="3">
        <v>2</v>
      </c>
      <c r="F364" s="5">
        <v>1499</v>
      </c>
      <c r="G364" s="4">
        <v>0.25</v>
      </c>
      <c r="H364" s="5">
        <f t="shared" si="1"/>
        <v>2248.5</v>
      </c>
      <c r="I364" s="7" t="e">
        <f ca="1">ROUND(_xludf.IFS(L364="Cancelled", 0, L364="Returned", -0.1*H364, C364="Electronics", 0.14*H364, C364="Appliances", 0.16*H364, C364="Fashion", 0.26*H364, C364="Home &amp; Kitchen", 0.22*H364, C364="Beauty &amp; Personal Care", 0.3*H364, C364="Sports &amp; Fitness", 0.2*H364, TRUE, 0.15*H364), 2)</f>
        <v>#NAME?</v>
      </c>
      <c r="J364" s="19" t="s">
        <v>46</v>
      </c>
      <c r="K364" s="19" t="s">
        <v>56</v>
      </c>
      <c r="L364" s="16" t="s">
        <v>23</v>
      </c>
      <c r="M364" s="19" t="s">
        <v>80</v>
      </c>
    </row>
    <row r="365" spans="1:13" ht="12.75">
      <c r="A365" s="16" t="s">
        <v>520</v>
      </c>
      <c r="B365" s="17">
        <v>46205</v>
      </c>
      <c r="C365" s="19" t="s">
        <v>3</v>
      </c>
      <c r="D365" s="19" t="s">
        <v>153</v>
      </c>
      <c r="E365" s="3">
        <v>1</v>
      </c>
      <c r="F365" s="5">
        <v>2699</v>
      </c>
      <c r="G365" s="4">
        <v>0.18</v>
      </c>
      <c r="H365" s="5">
        <f t="shared" si="1"/>
        <v>2213.1799999999998</v>
      </c>
      <c r="I365" s="7" t="e">
        <f ca="1">ROUND(_xludf.IFS(L365="Cancelled", 0, L365="Returned", -0.1*H365, C365="Electronics", 0.14*H365, C365="Appliances", 0.16*H365, C365="Fashion", 0.26*H365, C365="Home &amp; Kitchen", 0.22*H365, C365="Beauty &amp; Personal Care", 0.3*H365, C365="Sports &amp; Fitness", 0.2*H365, TRUE, 0.15*H365), 2)</f>
        <v>#NAME?</v>
      </c>
      <c r="J365" s="19" t="s">
        <v>55</v>
      </c>
      <c r="K365" s="19" t="s">
        <v>47</v>
      </c>
      <c r="L365" s="16" t="s">
        <v>24</v>
      </c>
      <c r="M365" s="19" t="s">
        <v>61</v>
      </c>
    </row>
    <row r="366" spans="1:13" ht="12.75">
      <c r="A366" s="16" t="s">
        <v>521</v>
      </c>
      <c r="B366" s="17">
        <v>46207</v>
      </c>
      <c r="C366" s="19" t="s">
        <v>2</v>
      </c>
      <c r="D366" s="19" t="s">
        <v>146</v>
      </c>
      <c r="E366" s="3">
        <v>2</v>
      </c>
      <c r="F366" s="5">
        <v>345</v>
      </c>
      <c r="G366" s="4">
        <v>0.15</v>
      </c>
      <c r="H366" s="5">
        <f t="shared" si="1"/>
        <v>586.5</v>
      </c>
      <c r="I366" s="7" t="e">
        <f ca="1">ROUND(_xludf.IFS(L366="Cancelled", 0, L366="Returned", -0.1*H366, C366="Electronics", 0.14*H366, C366="Appliances", 0.16*H366, C366="Fashion", 0.26*H366, C366="Home &amp; Kitchen", 0.22*H366, C366="Beauty &amp; Personal Care", 0.3*H366, C366="Sports &amp; Fitness", 0.2*H366, TRUE, 0.15*H366), 2)</f>
        <v>#NAME?</v>
      </c>
      <c r="J366" s="19" t="s">
        <v>46</v>
      </c>
      <c r="K366" s="19" t="s">
        <v>47</v>
      </c>
      <c r="L366" s="16" t="s">
        <v>24</v>
      </c>
      <c r="M366" s="19" t="s">
        <v>64</v>
      </c>
    </row>
    <row r="367" spans="1:13" ht="12.75">
      <c r="A367" s="16" t="s">
        <v>522</v>
      </c>
      <c r="B367" s="17">
        <v>46210</v>
      </c>
      <c r="C367" s="19" t="s">
        <v>7</v>
      </c>
      <c r="D367" s="19" t="s">
        <v>18</v>
      </c>
      <c r="E367" s="3">
        <v>1</v>
      </c>
      <c r="F367" s="5">
        <v>24490</v>
      </c>
      <c r="G367" s="4">
        <v>0.12</v>
      </c>
      <c r="H367" s="5">
        <f t="shared" si="1"/>
        <v>21551.200000000001</v>
      </c>
      <c r="I367" s="7" t="e">
        <f ca="1">ROUND(_xludf.IFS(L367="Cancelled", 0, L367="Returned", -0.1*H367, C367="Electronics", 0.14*H367, C367="Appliances", 0.16*H367, C367="Fashion", 0.26*H367, C367="Home &amp; Kitchen", 0.22*H367, C367="Beauty &amp; Personal Care", 0.3*H367, C367="Sports &amp; Fitness", 0.2*H367, TRUE, 0.15*H367), 2)</f>
        <v>#NAME?</v>
      </c>
      <c r="J367" s="19" t="s">
        <v>51</v>
      </c>
      <c r="K367" s="19" t="s">
        <v>47</v>
      </c>
      <c r="L367" s="16" t="s">
        <v>24</v>
      </c>
      <c r="M367" s="19" t="s">
        <v>48</v>
      </c>
    </row>
    <row r="368" spans="1:13" ht="12.75">
      <c r="A368" s="16" t="s">
        <v>523</v>
      </c>
      <c r="B368" s="17">
        <v>46212</v>
      </c>
      <c r="C368" s="19" t="s">
        <v>5</v>
      </c>
      <c r="D368" s="19" t="s">
        <v>69</v>
      </c>
      <c r="E368" s="3">
        <v>2</v>
      </c>
      <c r="F368" s="5">
        <v>499</v>
      </c>
      <c r="G368" s="4">
        <v>0.1</v>
      </c>
      <c r="H368" s="5">
        <f t="shared" si="1"/>
        <v>898.2</v>
      </c>
      <c r="I368" s="7" t="e">
        <f ca="1">ROUND(_xludf.IFS(L368="Cancelled", 0, L368="Returned", -0.1*H368, C368="Electronics", 0.14*H368, C368="Appliances", 0.16*H368, C368="Fashion", 0.26*H368, C368="Home &amp; Kitchen", 0.22*H368, C368="Beauty &amp; Personal Care", 0.3*H368, C368="Sports &amp; Fitness", 0.2*H368, TRUE, 0.15*H368), 2)</f>
        <v>#NAME?</v>
      </c>
      <c r="J368" s="19" t="s">
        <v>60</v>
      </c>
      <c r="K368" s="19" t="s">
        <v>56</v>
      </c>
      <c r="L368" s="16" t="s">
        <v>24</v>
      </c>
      <c r="M368" s="19" t="s">
        <v>109</v>
      </c>
    </row>
    <row r="369" spans="1:13" ht="12.75">
      <c r="A369" s="16" t="s">
        <v>524</v>
      </c>
      <c r="B369" s="17">
        <v>46215</v>
      </c>
      <c r="C369" s="19" t="s">
        <v>6</v>
      </c>
      <c r="D369" s="19" t="s">
        <v>111</v>
      </c>
      <c r="E369" s="3">
        <v>1</v>
      </c>
      <c r="F369" s="5">
        <v>2999</v>
      </c>
      <c r="G369" s="4">
        <v>0.18</v>
      </c>
      <c r="H369" s="5">
        <f t="shared" si="1"/>
        <v>2459.1799999999998</v>
      </c>
      <c r="I369" s="7" t="e">
        <f ca="1">ROUND(_xludf.IFS(L369="Cancelled", 0, L369="Returned", -0.1*H369, C369="Electronics", 0.14*H369, C369="Appliances", 0.16*H369, C369="Fashion", 0.26*H369, C369="Home &amp; Kitchen", 0.22*H369, C369="Beauty &amp; Personal Care", 0.3*H369, C369="Sports &amp; Fitness", 0.2*H369, TRUE, 0.15*H369), 2)</f>
        <v>#NAME?</v>
      </c>
      <c r="J369" s="19" t="s">
        <v>51</v>
      </c>
      <c r="K369" s="19" t="s">
        <v>47</v>
      </c>
      <c r="L369" s="16" t="s">
        <v>24</v>
      </c>
      <c r="M369" s="19" t="s">
        <v>52</v>
      </c>
    </row>
    <row r="370" spans="1:13" ht="12.75">
      <c r="A370" s="16" t="s">
        <v>525</v>
      </c>
      <c r="B370" s="17">
        <v>46217</v>
      </c>
      <c r="C370" s="19" t="s">
        <v>4</v>
      </c>
      <c r="D370" s="19" t="s">
        <v>150</v>
      </c>
      <c r="E370" s="3">
        <v>2</v>
      </c>
      <c r="F370" s="5">
        <v>1599</v>
      </c>
      <c r="G370" s="4">
        <v>0.3</v>
      </c>
      <c r="H370" s="5">
        <f t="shared" si="1"/>
        <v>2238.6</v>
      </c>
      <c r="I370" s="7" t="e">
        <f ca="1">ROUND(_xludf.IFS(L370="Cancelled", 0, L370="Returned", -0.1*H370, C370="Electronics", 0.14*H370, C370="Appliances", 0.16*H370, C370="Fashion", 0.26*H370, C370="Home &amp; Kitchen", 0.22*H370, C370="Beauty &amp; Personal Care", 0.3*H370, C370="Sports &amp; Fitness", 0.2*H370, TRUE, 0.15*H370), 2)</f>
        <v>#NAME?</v>
      </c>
      <c r="J370" s="19" t="s">
        <v>46</v>
      </c>
      <c r="K370" s="19" t="s">
        <v>47</v>
      </c>
      <c r="L370" s="16" t="s">
        <v>24</v>
      </c>
      <c r="M370" s="19" t="s">
        <v>67</v>
      </c>
    </row>
    <row r="371" spans="1:13" ht="12.75">
      <c r="A371" s="16" t="s">
        <v>526</v>
      </c>
      <c r="B371" s="17">
        <v>46220</v>
      </c>
      <c r="C371" s="19" t="s">
        <v>3</v>
      </c>
      <c r="D371" s="19" t="s">
        <v>161</v>
      </c>
      <c r="E371" s="3">
        <v>1</v>
      </c>
      <c r="F371" s="5">
        <v>2150</v>
      </c>
      <c r="G371" s="4">
        <v>0.12</v>
      </c>
      <c r="H371" s="5">
        <f t="shared" si="1"/>
        <v>1892</v>
      </c>
      <c r="I371" s="7" t="e">
        <f ca="1">ROUND(_xludf.IFS(L371="Cancelled", 0, L371="Returned", -0.1*H371, C371="Electronics", 0.14*H371, C371="Appliances", 0.16*H371, C371="Fashion", 0.26*H371, C371="Home &amp; Kitchen", 0.22*H371, C371="Beauty &amp; Personal Care", 0.3*H371, C371="Sports &amp; Fitness", 0.2*H371, TRUE, 0.15*H371), 2)</f>
        <v>#NAME?</v>
      </c>
      <c r="J371" s="19" t="s">
        <v>55</v>
      </c>
      <c r="K371" s="19" t="s">
        <v>47</v>
      </c>
      <c r="L371" s="16" t="s">
        <v>24</v>
      </c>
      <c r="M371" s="19" t="s">
        <v>73</v>
      </c>
    </row>
    <row r="372" spans="1:13" ht="12.75">
      <c r="A372" s="16" t="s">
        <v>527</v>
      </c>
      <c r="B372" s="17">
        <v>46222</v>
      </c>
      <c r="C372" s="19" t="s">
        <v>2</v>
      </c>
      <c r="D372" s="19" t="s">
        <v>155</v>
      </c>
      <c r="E372" s="3">
        <v>2</v>
      </c>
      <c r="F372" s="5">
        <v>420</v>
      </c>
      <c r="G372" s="4">
        <v>0.1</v>
      </c>
      <c r="H372" s="5">
        <f t="shared" si="1"/>
        <v>756</v>
      </c>
      <c r="I372" s="7" t="e">
        <f ca="1">ROUND(_xludf.IFS(L372="Cancelled", 0, L372="Returned", -0.1*H372, C372="Electronics", 0.14*H372, C372="Appliances", 0.16*H372, C372="Fashion", 0.26*H372, C372="Home &amp; Kitchen", 0.22*H372, C372="Beauty &amp; Personal Care", 0.3*H372, C372="Sports &amp; Fitness", 0.2*H372, TRUE, 0.15*H372), 2)</f>
        <v>#NAME?</v>
      </c>
      <c r="J372" s="19" t="s">
        <v>60</v>
      </c>
      <c r="K372" s="19" t="s">
        <v>47</v>
      </c>
      <c r="L372" s="16" t="s">
        <v>24</v>
      </c>
      <c r="M372" s="19" t="s">
        <v>48</v>
      </c>
    </row>
    <row r="373" spans="1:13" ht="12.75">
      <c r="A373" s="16" t="s">
        <v>528</v>
      </c>
      <c r="B373" s="17">
        <v>46225</v>
      </c>
      <c r="C373" s="19" t="s">
        <v>7</v>
      </c>
      <c r="D373" s="19" t="s">
        <v>187</v>
      </c>
      <c r="E373" s="3">
        <v>1</v>
      </c>
      <c r="F373" s="5">
        <v>14990</v>
      </c>
      <c r="G373" s="4">
        <v>0.14000000000000001</v>
      </c>
      <c r="H373" s="5">
        <f t="shared" si="1"/>
        <v>12891.4</v>
      </c>
      <c r="I373" s="7" t="e">
        <f ca="1">ROUND(_xludf.IFS(L373="Cancelled", 0, L373="Returned", -0.1*H373, C373="Electronics", 0.14*H373, C373="Appliances", 0.16*H373, C373="Fashion", 0.26*H373, C373="Home &amp; Kitchen", 0.22*H373, C373="Beauty &amp; Personal Care", 0.3*H373, C373="Sports &amp; Fitness", 0.2*H373, TRUE, 0.15*H373), 2)</f>
        <v>#NAME?</v>
      </c>
      <c r="J373" s="19" t="s">
        <v>51</v>
      </c>
      <c r="K373" s="19" t="s">
        <v>47</v>
      </c>
      <c r="L373" s="16" t="s">
        <v>24</v>
      </c>
      <c r="M373" s="19" t="s">
        <v>64</v>
      </c>
    </row>
    <row r="374" spans="1:13" ht="12.75">
      <c r="A374" s="16" t="s">
        <v>529</v>
      </c>
      <c r="B374" s="17">
        <v>46227</v>
      </c>
      <c r="C374" s="19" t="s">
        <v>5</v>
      </c>
      <c r="D374" s="19" t="s">
        <v>89</v>
      </c>
      <c r="E374" s="3">
        <v>1</v>
      </c>
      <c r="F374" s="5">
        <v>1249</v>
      </c>
      <c r="G374" s="4">
        <v>0.15</v>
      </c>
      <c r="H374" s="5">
        <f t="shared" si="1"/>
        <v>1061.6500000000001</v>
      </c>
      <c r="I374" s="7" t="e">
        <f ca="1">ROUND(_xludf.IFS(L374="Cancelled", 0, L374="Returned", -0.1*H374, C374="Electronics", 0.14*H374, C374="Appliances", 0.16*H374, C374="Fashion", 0.26*H374, C374="Home &amp; Kitchen", 0.22*H374, C374="Beauty &amp; Personal Care", 0.3*H374, C374="Sports &amp; Fitness", 0.2*H374, TRUE, 0.15*H374), 2)</f>
        <v>#NAME?</v>
      </c>
      <c r="J374" s="19" t="s">
        <v>46</v>
      </c>
      <c r="K374" s="19" t="s">
        <v>56</v>
      </c>
      <c r="L374" s="16" t="s">
        <v>24</v>
      </c>
      <c r="M374" s="19" t="s">
        <v>114</v>
      </c>
    </row>
    <row r="375" spans="1:13" ht="12.75">
      <c r="A375" s="16" t="s">
        <v>530</v>
      </c>
      <c r="B375" s="17">
        <v>46230</v>
      </c>
      <c r="C375" s="19" t="s">
        <v>6</v>
      </c>
      <c r="D375" s="19" t="s">
        <v>118</v>
      </c>
      <c r="E375" s="3">
        <v>1</v>
      </c>
      <c r="F375" s="5">
        <v>10999</v>
      </c>
      <c r="G375" s="4">
        <v>0.08</v>
      </c>
      <c r="H375" s="5">
        <f t="shared" si="1"/>
        <v>10119.08</v>
      </c>
      <c r="I375" s="7" t="e">
        <f ca="1">ROUND(_xludf.IFS(L375="Cancelled", 0, L375="Returned", -0.1*H375, C375="Electronics", 0.14*H375, C375="Appliances", 0.16*H375, C375="Fashion", 0.26*H375, C375="Home &amp; Kitchen", 0.22*H375, C375="Beauty &amp; Personal Care", 0.3*H375, C375="Sports &amp; Fitness", 0.2*H375, TRUE, 0.15*H375), 2)</f>
        <v>#NAME?</v>
      </c>
      <c r="J375" s="19" t="s">
        <v>51</v>
      </c>
      <c r="K375" s="19" t="s">
        <v>47</v>
      </c>
      <c r="L375" s="16" t="s">
        <v>24</v>
      </c>
      <c r="M375" s="19" t="s">
        <v>52</v>
      </c>
    </row>
    <row r="376" spans="1:13" ht="12.75">
      <c r="A376" s="16" t="s">
        <v>531</v>
      </c>
      <c r="B376" s="17">
        <v>46232</v>
      </c>
      <c r="C376" s="19" t="s">
        <v>4</v>
      </c>
      <c r="D376" s="19" t="s">
        <v>159</v>
      </c>
      <c r="E376" s="3">
        <v>2</v>
      </c>
      <c r="F376" s="5">
        <v>1299</v>
      </c>
      <c r="G376" s="4">
        <v>0.2</v>
      </c>
      <c r="H376" s="5">
        <f t="shared" si="1"/>
        <v>2078.4</v>
      </c>
      <c r="I376" s="7" t="e">
        <f ca="1">ROUND(_xludf.IFS(L376="Cancelled", 0, L376="Returned", -0.1*H376, C376="Electronics", 0.14*H376, C376="Appliances", 0.16*H376, C376="Fashion", 0.26*H376, C376="Home &amp; Kitchen", 0.22*H376, C376="Beauty &amp; Personal Care", 0.3*H376, C376="Sports &amp; Fitness", 0.2*H376, TRUE, 0.15*H376), 2)</f>
        <v>#NAME?</v>
      </c>
      <c r="J376" s="19" t="s">
        <v>46</v>
      </c>
      <c r="K376" s="19" t="s">
        <v>47</v>
      </c>
      <c r="L376" s="16" t="s">
        <v>24</v>
      </c>
      <c r="M376" s="19" t="s">
        <v>57</v>
      </c>
    </row>
    <row r="377" spans="1:13" ht="12.75">
      <c r="A377" s="16" t="s">
        <v>532</v>
      </c>
      <c r="B377" s="17">
        <v>46235</v>
      </c>
      <c r="C377" s="19" t="s">
        <v>3</v>
      </c>
      <c r="D377" s="19" t="s">
        <v>172</v>
      </c>
      <c r="E377" s="3">
        <v>1</v>
      </c>
      <c r="F377" s="5">
        <v>2199</v>
      </c>
      <c r="G377" s="4">
        <v>0.18</v>
      </c>
      <c r="H377" s="5">
        <f t="shared" si="1"/>
        <v>1803.18</v>
      </c>
      <c r="I377" s="7" t="e">
        <f ca="1">ROUND(_xludf.IFS(L377="Cancelled", 0, L377="Returned", -0.1*H377, C377="Electronics", 0.14*H377, C377="Appliances", 0.16*H377, C377="Fashion", 0.26*H377, C377="Home &amp; Kitchen", 0.22*H377, C377="Beauty &amp; Personal Care", 0.3*H377, C377="Sports &amp; Fitness", 0.2*H377, TRUE, 0.15*H377), 2)</f>
        <v>#NAME?</v>
      </c>
      <c r="J377" s="19" t="s">
        <v>55</v>
      </c>
      <c r="K377" s="19" t="s">
        <v>56</v>
      </c>
      <c r="L377" s="16" t="s">
        <v>24</v>
      </c>
      <c r="M377" s="19" t="s">
        <v>70</v>
      </c>
    </row>
    <row r="378" spans="1:13" ht="12.75">
      <c r="A378" s="16" t="s">
        <v>533</v>
      </c>
      <c r="B378" s="17">
        <v>46237</v>
      </c>
      <c r="C378" s="19" t="s">
        <v>2</v>
      </c>
      <c r="D378" s="19" t="s">
        <v>163</v>
      </c>
      <c r="E378" s="3">
        <v>3</v>
      </c>
      <c r="F378" s="5">
        <v>445</v>
      </c>
      <c r="G378" s="4">
        <v>0.08</v>
      </c>
      <c r="H378" s="5">
        <f t="shared" si="1"/>
        <v>1228.2</v>
      </c>
      <c r="I378" s="7" t="e">
        <f ca="1">ROUND(_xludf.IFS(L378="Cancelled", 0, L378="Returned", -0.1*H378, C378="Electronics", 0.14*H378, C378="Appliances", 0.16*H378, C378="Fashion", 0.26*H378, C378="Home &amp; Kitchen", 0.22*H378, C378="Beauty &amp; Personal Care", 0.3*H378, C378="Sports &amp; Fitness", 0.2*H378, TRUE, 0.15*H378), 2)</f>
        <v>#NAME?</v>
      </c>
      <c r="J378" s="19" t="s">
        <v>46</v>
      </c>
      <c r="K378" s="19" t="s">
        <v>47</v>
      </c>
      <c r="L378" s="16" t="s">
        <v>24</v>
      </c>
      <c r="M378" s="19" t="s">
        <v>76</v>
      </c>
    </row>
    <row r="379" spans="1:13" ht="12.75">
      <c r="A379" s="16" t="s">
        <v>534</v>
      </c>
      <c r="B379" s="17">
        <v>46240</v>
      </c>
      <c r="C379" s="19" t="s">
        <v>7</v>
      </c>
      <c r="D379" s="19" t="s">
        <v>198</v>
      </c>
      <c r="E379" s="3">
        <v>1</v>
      </c>
      <c r="F379" s="5">
        <v>3299</v>
      </c>
      <c r="G379" s="4">
        <v>0.15</v>
      </c>
      <c r="H379" s="5">
        <f t="shared" si="1"/>
        <v>2804.15</v>
      </c>
      <c r="I379" s="7" t="e">
        <f ca="1">ROUND(_xludf.IFS(L379="Cancelled", 0, L379="Returned", -0.1*H379, C379="Electronics", 0.14*H379, C379="Appliances", 0.16*H379, C379="Fashion", 0.26*H379, C379="Home &amp; Kitchen", 0.22*H379, C379="Beauty &amp; Personal Care", 0.3*H379, C379="Sports &amp; Fitness", 0.2*H379, TRUE, 0.15*H379), 2)</f>
        <v>#NAME?</v>
      </c>
      <c r="J379" s="19" t="s">
        <v>51</v>
      </c>
      <c r="K379" s="19" t="s">
        <v>47</v>
      </c>
      <c r="L379" s="16" t="s">
        <v>24</v>
      </c>
      <c r="M379" s="19" t="s">
        <v>48</v>
      </c>
    </row>
    <row r="380" spans="1:13" ht="12.75">
      <c r="A380" s="16" t="s">
        <v>535</v>
      </c>
      <c r="B380" s="17">
        <v>46242</v>
      </c>
      <c r="C380" s="19" t="s">
        <v>5</v>
      </c>
      <c r="D380" s="19" t="s">
        <v>108</v>
      </c>
      <c r="E380" s="3">
        <v>2</v>
      </c>
      <c r="F380" s="5">
        <v>480</v>
      </c>
      <c r="G380" s="4">
        <v>0.05</v>
      </c>
      <c r="H380" s="5">
        <f t="shared" si="1"/>
        <v>912</v>
      </c>
      <c r="I380" s="7" t="e">
        <f ca="1">ROUND(_xludf.IFS(L380="Cancelled", 0, L380="Returned", -0.1*H380, C380="Electronics", 0.14*H380, C380="Appliances", 0.16*H380, C380="Fashion", 0.26*H380, C380="Home &amp; Kitchen", 0.22*H380, C380="Beauty &amp; Personal Care", 0.3*H380, C380="Sports &amp; Fitness", 0.2*H380, TRUE, 0.15*H380), 2)</f>
        <v>#NAME?</v>
      </c>
      <c r="J380" s="19" t="s">
        <v>60</v>
      </c>
      <c r="K380" s="19" t="s">
        <v>47</v>
      </c>
      <c r="L380" s="16" t="s">
        <v>24</v>
      </c>
      <c r="M380" s="19" t="s">
        <v>61</v>
      </c>
    </row>
    <row r="381" spans="1:13" ht="12.75">
      <c r="A381" s="16" t="s">
        <v>536</v>
      </c>
      <c r="B381" s="17">
        <v>46245</v>
      </c>
      <c r="C381" s="19" t="s">
        <v>6</v>
      </c>
      <c r="D381" s="19" t="s">
        <v>134</v>
      </c>
      <c r="E381" s="3">
        <v>1</v>
      </c>
      <c r="F381" s="5">
        <v>2299</v>
      </c>
      <c r="G381" s="4">
        <v>0.12</v>
      </c>
      <c r="H381" s="5">
        <f t="shared" si="1"/>
        <v>2023.12</v>
      </c>
      <c r="I381" s="7" t="e">
        <f ca="1">ROUND(_xludf.IFS(L381="Cancelled", 0, L381="Returned", -0.1*H381, C381="Electronics", 0.14*H381, C381="Appliances", 0.16*H381, C381="Fashion", 0.26*H381, C381="Home &amp; Kitchen", 0.22*H381, C381="Beauty &amp; Personal Care", 0.3*H381, C381="Sports &amp; Fitness", 0.2*H381, TRUE, 0.15*H381), 2)</f>
        <v>#NAME?</v>
      </c>
      <c r="J381" s="19" t="s">
        <v>46</v>
      </c>
      <c r="K381" s="19" t="s">
        <v>47</v>
      </c>
      <c r="L381" s="16" t="s">
        <v>26</v>
      </c>
      <c r="M381" s="19" t="s">
        <v>64</v>
      </c>
    </row>
    <row r="382" spans="1:13" ht="12.75">
      <c r="A382" s="16" t="s">
        <v>537</v>
      </c>
      <c r="B382" s="17">
        <v>46247</v>
      </c>
      <c r="C382" s="19" t="s">
        <v>4</v>
      </c>
      <c r="D382" s="19" t="s">
        <v>170</v>
      </c>
      <c r="E382" s="3">
        <v>1</v>
      </c>
      <c r="F382" s="5">
        <v>899</v>
      </c>
      <c r="G382" s="4">
        <v>0.25</v>
      </c>
      <c r="H382" s="5">
        <f t="shared" si="1"/>
        <v>674.25</v>
      </c>
      <c r="I382" s="7" t="e">
        <f ca="1">ROUND(_xludf.IFS(L382="Cancelled", 0, L382="Returned", -0.1*H382, C382="Electronics", 0.14*H382, C382="Appliances", 0.16*H382, C382="Fashion", 0.26*H382, C382="Home &amp; Kitchen", 0.22*H382, C382="Beauty &amp; Personal Care", 0.3*H382, C382="Sports &amp; Fitness", 0.2*H382, TRUE, 0.15*H382), 2)</f>
        <v>#NAME?</v>
      </c>
      <c r="J382" s="19" t="s">
        <v>46</v>
      </c>
      <c r="K382" s="19" t="s">
        <v>47</v>
      </c>
      <c r="L382" s="16" t="s">
        <v>24</v>
      </c>
      <c r="M382" s="19" t="s">
        <v>52</v>
      </c>
    </row>
    <row r="383" spans="1:13" ht="12.75">
      <c r="A383" s="16" t="s">
        <v>538</v>
      </c>
      <c r="B383" s="17">
        <v>46250</v>
      </c>
      <c r="C383" s="19" t="s">
        <v>3</v>
      </c>
      <c r="D383" s="19" t="s">
        <v>183</v>
      </c>
      <c r="E383" s="3">
        <v>3</v>
      </c>
      <c r="F383" s="5">
        <v>299</v>
      </c>
      <c r="G383" s="4">
        <v>0.15</v>
      </c>
      <c r="H383" s="5">
        <f t="shared" si="1"/>
        <v>762.45</v>
      </c>
      <c r="I383" s="7" t="e">
        <f ca="1">ROUND(_xludf.IFS(L383="Cancelled", 0, L383="Returned", -0.1*H383, C383="Electronics", 0.14*H383, C383="Appliances", 0.16*H383, C383="Fashion", 0.26*H383, C383="Home &amp; Kitchen", 0.22*H383, C383="Beauty &amp; Personal Care", 0.3*H383, C383="Sports &amp; Fitness", 0.2*H383, TRUE, 0.15*H383), 2)</f>
        <v>#NAME?</v>
      </c>
      <c r="J383" s="19" t="s">
        <v>60</v>
      </c>
      <c r="K383" s="19" t="s">
        <v>47</v>
      </c>
      <c r="L383" s="16" t="s">
        <v>24</v>
      </c>
      <c r="M383" s="19" t="s">
        <v>106</v>
      </c>
    </row>
    <row r="384" spans="1:13" ht="12.75">
      <c r="A384" s="16" t="s">
        <v>539</v>
      </c>
      <c r="B384" s="17">
        <v>46252</v>
      </c>
      <c r="C384" s="19" t="s">
        <v>2</v>
      </c>
      <c r="D384" s="19" t="s">
        <v>174</v>
      </c>
      <c r="E384" s="3">
        <v>3</v>
      </c>
      <c r="F384" s="5">
        <v>260</v>
      </c>
      <c r="G384" s="4">
        <v>0.1</v>
      </c>
      <c r="H384" s="5">
        <f t="shared" si="1"/>
        <v>702</v>
      </c>
      <c r="I384" s="7" t="e">
        <f ca="1">ROUND(_xludf.IFS(L384="Cancelled", 0, L384="Returned", -0.1*H384, C384="Electronics", 0.14*H384, C384="Appliances", 0.16*H384, C384="Fashion", 0.26*H384, C384="Home &amp; Kitchen", 0.22*H384, C384="Beauty &amp; Personal Care", 0.3*H384, C384="Sports &amp; Fitness", 0.2*H384, TRUE, 0.15*H384), 2)</f>
        <v>#NAME?</v>
      </c>
      <c r="J384" s="19" t="s">
        <v>66</v>
      </c>
      <c r="K384" s="19" t="s">
        <v>47</v>
      </c>
      <c r="L384" s="16" t="s">
        <v>24</v>
      </c>
      <c r="M384" s="19" t="s">
        <v>73</v>
      </c>
    </row>
    <row r="385" spans="1:13" ht="12.75">
      <c r="A385" s="16" t="s">
        <v>540</v>
      </c>
      <c r="B385" s="17">
        <v>46255</v>
      </c>
      <c r="C385" s="19" t="s">
        <v>7</v>
      </c>
      <c r="D385" s="19" t="s">
        <v>209</v>
      </c>
      <c r="E385" s="3">
        <v>1</v>
      </c>
      <c r="F385" s="5">
        <v>5699</v>
      </c>
      <c r="G385" s="4">
        <v>0.18</v>
      </c>
      <c r="H385" s="5">
        <f t="shared" si="1"/>
        <v>4673.18</v>
      </c>
      <c r="I385" s="7" t="e">
        <f ca="1">ROUND(_xludf.IFS(L385="Cancelled", 0, L385="Returned", -0.1*H385, C385="Electronics", 0.14*H385, C385="Appliances", 0.16*H385, C385="Fashion", 0.26*H385, C385="Home &amp; Kitchen", 0.22*H385, C385="Beauty &amp; Personal Care", 0.3*H385, C385="Sports &amp; Fitness", 0.2*H385, TRUE, 0.15*H385), 2)</f>
        <v>#NAME?</v>
      </c>
      <c r="J385" s="19" t="s">
        <v>55</v>
      </c>
      <c r="K385" s="19" t="s">
        <v>47</v>
      </c>
      <c r="L385" s="16" t="s">
        <v>24</v>
      </c>
      <c r="M385" s="19" t="s">
        <v>48</v>
      </c>
    </row>
    <row r="386" spans="1:13" ht="12.75">
      <c r="A386" s="16" t="s">
        <v>541</v>
      </c>
      <c r="B386" s="17">
        <v>46257</v>
      </c>
      <c r="C386" s="19" t="s">
        <v>5</v>
      </c>
      <c r="D386" s="19" t="s">
        <v>124</v>
      </c>
      <c r="E386" s="3">
        <v>2</v>
      </c>
      <c r="F386" s="5">
        <v>699</v>
      </c>
      <c r="G386" s="4">
        <v>0.15</v>
      </c>
      <c r="H386" s="5">
        <f t="shared" si="1"/>
        <v>1188.3</v>
      </c>
      <c r="I386" s="7" t="e">
        <f ca="1">ROUND(_xludf.IFS(L386="Cancelled", 0, L386="Returned", -0.1*H386, C386="Electronics", 0.14*H386, C386="Appliances", 0.16*H386, C386="Fashion", 0.26*H386, C386="Home &amp; Kitchen", 0.22*H386, C386="Beauty &amp; Personal Care", 0.3*H386, C386="Sports &amp; Fitness", 0.2*H386, TRUE, 0.15*H386), 2)</f>
        <v>#NAME?</v>
      </c>
      <c r="J386" s="19" t="s">
        <v>60</v>
      </c>
      <c r="K386" s="19" t="s">
        <v>56</v>
      </c>
      <c r="L386" s="16" t="s">
        <v>24</v>
      </c>
      <c r="M386" s="19" t="s">
        <v>90</v>
      </c>
    </row>
    <row r="387" spans="1:13" ht="12.75">
      <c r="A387" s="16" t="s">
        <v>542</v>
      </c>
      <c r="B387" s="17">
        <v>46260</v>
      </c>
      <c r="C387" s="19" t="s">
        <v>6</v>
      </c>
      <c r="D387" s="19" t="s">
        <v>126</v>
      </c>
      <c r="E387" s="3">
        <v>3</v>
      </c>
      <c r="F387" s="5">
        <v>849</v>
      </c>
      <c r="G387" s="4">
        <v>0.2</v>
      </c>
      <c r="H387" s="5">
        <f t="shared" si="1"/>
        <v>2037.6</v>
      </c>
      <c r="I387" s="7" t="e">
        <f ca="1">ROUND(_xludf.IFS(L387="Cancelled", 0, L387="Returned", -0.1*H387, C387="Electronics", 0.14*H387, C387="Appliances", 0.16*H387, C387="Fashion", 0.26*H387, C387="Home &amp; Kitchen", 0.22*H387, C387="Beauty &amp; Personal Care", 0.3*H387, C387="Sports &amp; Fitness", 0.2*H387, TRUE, 0.15*H387), 2)</f>
        <v>#NAME?</v>
      </c>
      <c r="J387" s="19" t="s">
        <v>79</v>
      </c>
      <c r="K387" s="19" t="s">
        <v>47</v>
      </c>
      <c r="L387" s="16" t="s">
        <v>24</v>
      </c>
      <c r="M387" s="19" t="s">
        <v>67</v>
      </c>
    </row>
    <row r="388" spans="1:13" ht="12.75">
      <c r="A388" s="16" t="s">
        <v>543</v>
      </c>
      <c r="B388" s="17">
        <v>46262</v>
      </c>
      <c r="C388" s="19" t="s">
        <v>4</v>
      </c>
      <c r="D388" s="19" t="s">
        <v>181</v>
      </c>
      <c r="E388" s="3">
        <v>2</v>
      </c>
      <c r="F388" s="5">
        <v>999</v>
      </c>
      <c r="G388" s="4">
        <v>0.2</v>
      </c>
      <c r="H388" s="5">
        <f t="shared" si="1"/>
        <v>1598.4</v>
      </c>
      <c r="I388" s="7" t="e">
        <f ca="1">ROUND(_xludf.IFS(L388="Cancelled", 0, L388="Returned", -0.1*H388, C388="Electronics", 0.14*H388, C388="Appliances", 0.16*H388, C388="Fashion", 0.26*H388, C388="Home &amp; Kitchen", 0.22*H388, C388="Beauty &amp; Personal Care", 0.3*H388, C388="Sports &amp; Fitness", 0.2*H388, TRUE, 0.15*H388), 2)</f>
        <v>#NAME?</v>
      </c>
      <c r="J388" s="19" t="s">
        <v>46</v>
      </c>
      <c r="K388" s="19" t="s">
        <v>47</v>
      </c>
      <c r="L388" s="16" t="s">
        <v>24</v>
      </c>
      <c r="M388" s="19" t="s">
        <v>52</v>
      </c>
    </row>
    <row r="389" spans="1:13" ht="12.75">
      <c r="A389" s="16" t="s">
        <v>544</v>
      </c>
      <c r="B389" s="17">
        <v>46265</v>
      </c>
      <c r="C389" s="19" t="s">
        <v>3</v>
      </c>
      <c r="D389" s="19" t="s">
        <v>194</v>
      </c>
      <c r="E389" s="3">
        <v>1</v>
      </c>
      <c r="F389" s="5">
        <v>3199</v>
      </c>
      <c r="G389" s="4">
        <v>0.12</v>
      </c>
      <c r="H389" s="5">
        <f t="shared" si="1"/>
        <v>2815.12</v>
      </c>
      <c r="I389" s="7" t="e">
        <f ca="1">ROUND(_xludf.IFS(L389="Cancelled", 0, L389="Returned", -0.1*H389, C389="Electronics", 0.14*H389, C389="Appliances", 0.16*H389, C389="Fashion", 0.26*H389, C389="Home &amp; Kitchen", 0.22*H389, C389="Beauty &amp; Personal Care", 0.3*H389, C389="Sports &amp; Fitness", 0.2*H389, TRUE, 0.15*H389), 2)</f>
        <v>#NAME?</v>
      </c>
      <c r="J389" s="19" t="s">
        <v>55</v>
      </c>
      <c r="K389" s="19" t="s">
        <v>47</v>
      </c>
      <c r="L389" s="16" t="s">
        <v>24</v>
      </c>
      <c r="M389" s="19" t="s">
        <v>57</v>
      </c>
    </row>
    <row r="390" spans="1:13" ht="12.75">
      <c r="A390" s="16" t="s">
        <v>545</v>
      </c>
      <c r="B390" s="17">
        <v>46267</v>
      </c>
      <c r="C390" s="19" t="s">
        <v>2</v>
      </c>
      <c r="D390" s="19" t="s">
        <v>185</v>
      </c>
      <c r="E390" s="3">
        <v>1</v>
      </c>
      <c r="F390" s="5">
        <v>480</v>
      </c>
      <c r="G390" s="4">
        <v>0.05</v>
      </c>
      <c r="H390" s="5">
        <f t="shared" si="1"/>
        <v>456</v>
      </c>
      <c r="I390" s="7" t="e">
        <f ca="1">ROUND(_xludf.IFS(L390="Cancelled", 0, L390="Returned", -0.1*H390, C390="Electronics", 0.14*H390, C390="Appliances", 0.16*H390, C390="Fashion", 0.26*H390, C390="Home &amp; Kitchen", 0.22*H390, C390="Beauty &amp; Personal Care", 0.3*H390, C390="Sports &amp; Fitness", 0.2*H390, TRUE, 0.15*H390), 2)</f>
        <v>#NAME?</v>
      </c>
      <c r="J390" s="19" t="s">
        <v>46</v>
      </c>
      <c r="K390" s="19" t="s">
        <v>47</v>
      </c>
      <c r="L390" s="16" t="s">
        <v>24</v>
      </c>
      <c r="M390" s="19" t="s">
        <v>64</v>
      </c>
    </row>
    <row r="391" spans="1:13" ht="12.75">
      <c r="A391" s="16" t="s">
        <v>546</v>
      </c>
      <c r="B391" s="17">
        <v>46269</v>
      </c>
      <c r="C391" s="19" t="s">
        <v>7</v>
      </c>
      <c r="D391" s="19" t="s">
        <v>221</v>
      </c>
      <c r="E391" s="3">
        <v>2</v>
      </c>
      <c r="F391" s="5">
        <v>1499</v>
      </c>
      <c r="G391" s="4">
        <v>0.12</v>
      </c>
      <c r="H391" s="5">
        <f t="shared" si="1"/>
        <v>2638.24</v>
      </c>
      <c r="I391" s="7" t="e">
        <f ca="1">ROUND(_xludf.IFS(L391="Cancelled", 0, L391="Returned", -0.1*H391, C391="Electronics", 0.14*H391, C391="Appliances", 0.16*H391, C391="Fashion", 0.26*H391, C391="Home &amp; Kitchen", 0.22*H391, C391="Beauty &amp; Personal Care", 0.3*H391, C391="Sports &amp; Fitness", 0.2*H391, TRUE, 0.15*H391), 2)</f>
        <v>#NAME?</v>
      </c>
      <c r="J391" s="19" t="s">
        <v>51</v>
      </c>
      <c r="K391" s="19" t="s">
        <v>47</v>
      </c>
      <c r="L391" s="16" t="s">
        <v>24</v>
      </c>
      <c r="M391" s="19" t="s">
        <v>48</v>
      </c>
    </row>
    <row r="392" spans="1:13" ht="12.75">
      <c r="A392" s="16" t="s">
        <v>547</v>
      </c>
      <c r="B392" s="17">
        <v>46271</v>
      </c>
      <c r="C392" s="19" t="s">
        <v>5</v>
      </c>
      <c r="D392" s="19" t="s">
        <v>138</v>
      </c>
      <c r="E392" s="3">
        <v>2</v>
      </c>
      <c r="F392" s="5">
        <v>599</v>
      </c>
      <c r="G392" s="4">
        <v>0.1</v>
      </c>
      <c r="H392" s="5">
        <f t="shared" si="1"/>
        <v>1078.2</v>
      </c>
      <c r="I392" s="7" t="e">
        <f ca="1">ROUND(_xludf.IFS(L392="Cancelled", 0, L392="Returned", -0.1*H392, C392="Electronics", 0.14*H392, C392="Appliances", 0.16*H392, C392="Fashion", 0.26*H392, C392="Home &amp; Kitchen", 0.22*H392, C392="Beauty &amp; Personal Care", 0.3*H392, C392="Sports &amp; Fitness", 0.2*H392, TRUE, 0.15*H392), 2)</f>
        <v>#NAME?</v>
      </c>
      <c r="J392" s="19" t="s">
        <v>46</v>
      </c>
      <c r="K392" s="19" t="s">
        <v>47</v>
      </c>
      <c r="L392" s="16" t="s">
        <v>24</v>
      </c>
      <c r="M392" s="19" t="s">
        <v>64</v>
      </c>
    </row>
    <row r="393" spans="1:13" ht="12.75">
      <c r="A393" s="16" t="s">
        <v>548</v>
      </c>
      <c r="B393" s="17">
        <v>46273</v>
      </c>
      <c r="C393" s="19" t="s">
        <v>6</v>
      </c>
      <c r="D393" s="19" t="s">
        <v>168</v>
      </c>
      <c r="E393" s="3">
        <v>2</v>
      </c>
      <c r="F393" s="5">
        <v>1299</v>
      </c>
      <c r="G393" s="4">
        <v>0.15</v>
      </c>
      <c r="H393" s="5">
        <f t="shared" si="1"/>
        <v>2208.3000000000002</v>
      </c>
      <c r="I393" s="7" t="e">
        <f ca="1">ROUND(_xludf.IFS(L393="Cancelled", 0, L393="Returned", -0.1*H393, C393="Electronics", 0.14*H393, C393="Appliances", 0.16*H393, C393="Fashion", 0.26*H393, C393="Home &amp; Kitchen", 0.22*H393, C393="Beauty &amp; Personal Care", 0.3*H393, C393="Sports &amp; Fitness", 0.2*H393, TRUE, 0.15*H393), 2)</f>
        <v>#NAME?</v>
      </c>
      <c r="J393" s="19" t="s">
        <v>66</v>
      </c>
      <c r="K393" s="19" t="s">
        <v>47</v>
      </c>
      <c r="L393" s="16" t="s">
        <v>24</v>
      </c>
      <c r="M393" s="19" t="s">
        <v>48</v>
      </c>
    </row>
    <row r="394" spans="1:13" ht="12.75">
      <c r="A394" s="16" t="s">
        <v>549</v>
      </c>
      <c r="B394" s="17">
        <v>46275</v>
      </c>
      <c r="C394" s="19" t="s">
        <v>4</v>
      </c>
      <c r="D394" s="19" t="s">
        <v>30</v>
      </c>
      <c r="E394" s="3">
        <v>1</v>
      </c>
      <c r="F394" s="5">
        <v>1595</v>
      </c>
      <c r="G394" s="4">
        <v>0.15</v>
      </c>
      <c r="H394" s="5">
        <f t="shared" si="1"/>
        <v>1355.75</v>
      </c>
      <c r="I394" s="7" t="e">
        <f ca="1">ROUND(_xludf.IFS(L394="Cancelled", 0, L394="Returned", -0.1*H394, C394="Electronics", 0.14*H394, C394="Appliances", 0.16*H394, C394="Fashion", 0.26*H394, C394="Home &amp; Kitchen", 0.22*H394, C394="Beauty &amp; Personal Care", 0.3*H394, C394="Sports &amp; Fitness", 0.2*H394, TRUE, 0.15*H394), 2)</f>
        <v>#NAME?</v>
      </c>
      <c r="J394" s="19" t="s">
        <v>51</v>
      </c>
      <c r="K394" s="19" t="s">
        <v>47</v>
      </c>
      <c r="L394" s="16" t="s">
        <v>24</v>
      </c>
      <c r="M394" s="19" t="s">
        <v>52</v>
      </c>
    </row>
    <row r="395" spans="1:13" ht="12.75">
      <c r="A395" s="16" t="s">
        <v>550</v>
      </c>
      <c r="B395" s="17">
        <v>46277</v>
      </c>
      <c r="C395" s="19" t="s">
        <v>3</v>
      </c>
      <c r="D395" s="19" t="s">
        <v>205</v>
      </c>
      <c r="E395" s="3">
        <v>1</v>
      </c>
      <c r="F395" s="5">
        <v>1699</v>
      </c>
      <c r="G395" s="4">
        <v>0.15</v>
      </c>
      <c r="H395" s="5">
        <f t="shared" si="1"/>
        <v>1444.15</v>
      </c>
      <c r="I395" s="7" t="e">
        <f ca="1">ROUND(_xludf.IFS(L395="Cancelled", 0, L395="Returned", -0.1*H395, C395="Electronics", 0.14*H395, C395="Appliances", 0.16*H395, C395="Fashion", 0.26*H395, C395="Home &amp; Kitchen", 0.22*H395, C395="Beauty &amp; Personal Care", 0.3*H395, C395="Sports &amp; Fitness", 0.2*H395, TRUE, 0.15*H395), 2)</f>
        <v>#NAME?</v>
      </c>
      <c r="J395" s="19" t="s">
        <v>55</v>
      </c>
      <c r="K395" s="19" t="s">
        <v>47</v>
      </c>
      <c r="L395" s="16" t="s">
        <v>24</v>
      </c>
      <c r="M395" s="19" t="s">
        <v>57</v>
      </c>
    </row>
    <row r="396" spans="1:13" ht="12.75">
      <c r="A396" s="16" t="s">
        <v>551</v>
      </c>
      <c r="B396" s="17">
        <v>46279</v>
      </c>
      <c r="C396" s="19" t="s">
        <v>2</v>
      </c>
      <c r="D396" s="19" t="s">
        <v>196</v>
      </c>
      <c r="E396" s="3">
        <v>2</v>
      </c>
      <c r="F396" s="5">
        <v>599</v>
      </c>
      <c r="G396" s="4">
        <v>0.1</v>
      </c>
      <c r="H396" s="5">
        <f t="shared" si="1"/>
        <v>1078.2</v>
      </c>
      <c r="I396" s="7" t="e">
        <f ca="1">ROUND(_xludf.IFS(L396="Cancelled", 0, L396="Returned", -0.1*H396, C396="Electronics", 0.14*H396, C396="Appliances", 0.16*H396, C396="Fashion", 0.26*H396, C396="Home &amp; Kitchen", 0.22*H396, C396="Beauty &amp; Personal Care", 0.3*H396, C396="Sports &amp; Fitness", 0.2*H396, TRUE, 0.15*H396), 2)</f>
        <v>#NAME?</v>
      </c>
      <c r="J396" s="19" t="s">
        <v>60</v>
      </c>
      <c r="K396" s="19" t="s">
        <v>47</v>
      </c>
      <c r="L396" s="16" t="s">
        <v>24</v>
      </c>
      <c r="M396" s="19" t="s">
        <v>73</v>
      </c>
    </row>
    <row r="397" spans="1:13" ht="12.75">
      <c r="A397" s="16" t="s">
        <v>552</v>
      </c>
      <c r="B397" s="17">
        <v>46281</v>
      </c>
      <c r="C397" s="19" t="s">
        <v>7</v>
      </c>
      <c r="D397" s="19" t="s">
        <v>232</v>
      </c>
      <c r="E397" s="3">
        <v>1</v>
      </c>
      <c r="F397" s="5">
        <v>13999</v>
      </c>
      <c r="G397" s="4">
        <v>0.14000000000000001</v>
      </c>
      <c r="H397" s="5">
        <f t="shared" si="1"/>
        <v>12039.14</v>
      </c>
      <c r="I397" s="7" t="e">
        <f ca="1">ROUND(_xludf.IFS(L397="Cancelled", 0, L397="Returned", -0.1*H397, C397="Electronics", 0.14*H397, C397="Appliances", 0.16*H397, C397="Fashion", 0.26*H397, C397="Home &amp; Kitchen", 0.22*H397, C397="Beauty &amp; Personal Care", 0.3*H397, C397="Sports &amp; Fitness", 0.2*H397, TRUE, 0.15*H397), 2)</f>
        <v>#NAME?</v>
      </c>
      <c r="J397" s="19" t="s">
        <v>51</v>
      </c>
      <c r="K397" s="19" t="s">
        <v>47</v>
      </c>
      <c r="L397" s="16" t="s">
        <v>24</v>
      </c>
      <c r="M397" s="19" t="s">
        <v>48</v>
      </c>
    </row>
    <row r="398" spans="1:13" ht="12.75">
      <c r="A398" s="16" t="s">
        <v>553</v>
      </c>
      <c r="B398" s="17">
        <v>46283</v>
      </c>
      <c r="C398" s="19" t="s">
        <v>5</v>
      </c>
      <c r="D398" s="19" t="s">
        <v>166</v>
      </c>
      <c r="E398" s="3">
        <v>4</v>
      </c>
      <c r="F398" s="5">
        <v>399</v>
      </c>
      <c r="G398" s="4">
        <v>0.05</v>
      </c>
      <c r="H398" s="5">
        <f t="shared" si="1"/>
        <v>1516.2</v>
      </c>
      <c r="I398" s="7" t="e">
        <f ca="1">ROUND(_xludf.IFS(L398="Cancelled", 0, L398="Returned", -0.1*H398, C398="Electronics", 0.14*H398, C398="Appliances", 0.16*H398, C398="Fashion", 0.26*H398, C398="Home &amp; Kitchen", 0.22*H398, C398="Beauty &amp; Personal Care", 0.3*H398, C398="Sports &amp; Fitness", 0.2*H398, TRUE, 0.15*H398), 2)</f>
        <v>#NAME?</v>
      </c>
      <c r="J398" s="19" t="s">
        <v>46</v>
      </c>
      <c r="K398" s="19" t="s">
        <v>56</v>
      </c>
      <c r="L398" s="16" t="s">
        <v>24</v>
      </c>
      <c r="M398" s="19" t="s">
        <v>70</v>
      </c>
    </row>
    <row r="399" spans="1:13" ht="12.75">
      <c r="A399" s="16" t="s">
        <v>554</v>
      </c>
      <c r="B399" s="17">
        <v>46285</v>
      </c>
      <c r="C399" s="19" t="s">
        <v>6</v>
      </c>
      <c r="D399" s="19" t="s">
        <v>179</v>
      </c>
      <c r="E399" s="3">
        <v>1</v>
      </c>
      <c r="F399" s="5">
        <v>15499</v>
      </c>
      <c r="G399" s="4">
        <v>0.1</v>
      </c>
      <c r="H399" s="5">
        <f t="shared" si="1"/>
        <v>13949.1</v>
      </c>
      <c r="I399" s="7" t="e">
        <f ca="1">ROUND(_xludf.IFS(L399="Cancelled", 0, L399="Returned", -0.1*H399, C399="Electronics", 0.14*H399, C399="Appliances", 0.16*H399, C399="Fashion", 0.26*H399, C399="Home &amp; Kitchen", 0.22*H399, C399="Beauty &amp; Personal Care", 0.3*H399, C399="Sports &amp; Fitness", 0.2*H399, TRUE, 0.15*H399), 2)</f>
        <v>#NAME?</v>
      </c>
      <c r="J399" s="19" t="s">
        <v>51</v>
      </c>
      <c r="K399" s="19" t="s">
        <v>47</v>
      </c>
      <c r="L399" s="16" t="s">
        <v>24</v>
      </c>
      <c r="M399" s="19" t="s">
        <v>64</v>
      </c>
    </row>
    <row r="400" spans="1:13" ht="12.75">
      <c r="A400" s="16" t="s">
        <v>555</v>
      </c>
      <c r="B400" s="17">
        <v>46287</v>
      </c>
      <c r="C400" s="19" t="s">
        <v>4</v>
      </c>
      <c r="D400" s="19" t="s">
        <v>203</v>
      </c>
      <c r="E400" s="3">
        <v>1</v>
      </c>
      <c r="F400" s="5">
        <v>1399</v>
      </c>
      <c r="G400" s="4">
        <v>0.25</v>
      </c>
      <c r="H400" s="5">
        <f t="shared" si="1"/>
        <v>1049.25</v>
      </c>
      <c r="I400" s="7" t="e">
        <f ca="1">ROUND(_xludf.IFS(L400="Cancelled", 0, L400="Returned", -0.1*H400, C400="Electronics", 0.14*H400, C400="Appliances", 0.16*H400, C400="Fashion", 0.26*H400, C400="Home &amp; Kitchen", 0.22*H400, C400="Beauty &amp; Personal Care", 0.3*H400, C400="Sports &amp; Fitness", 0.2*H400, TRUE, 0.15*H400), 2)</f>
        <v>#NAME?</v>
      </c>
      <c r="J400" s="19" t="s">
        <v>66</v>
      </c>
      <c r="K400" s="19" t="s">
        <v>47</v>
      </c>
      <c r="L400" s="16" t="s">
        <v>24</v>
      </c>
      <c r="M400" s="19" t="s">
        <v>52</v>
      </c>
    </row>
    <row r="401" spans="1:13" ht="12.75">
      <c r="A401" s="16" t="s">
        <v>556</v>
      </c>
      <c r="B401" s="17">
        <v>46289</v>
      </c>
      <c r="C401" s="19" t="s">
        <v>3</v>
      </c>
      <c r="D401" s="19" t="s">
        <v>217</v>
      </c>
      <c r="E401" s="3">
        <v>2</v>
      </c>
      <c r="F401" s="5">
        <v>849</v>
      </c>
      <c r="G401" s="4">
        <v>0.1</v>
      </c>
      <c r="H401" s="5">
        <f t="shared" si="1"/>
        <v>1528.2</v>
      </c>
      <c r="I401" s="7" t="e">
        <f ca="1">ROUND(_xludf.IFS(L401="Cancelled", 0, L401="Returned", -0.1*H401, C401="Electronics", 0.14*H401, C401="Appliances", 0.16*H401, C401="Fashion", 0.26*H401, C401="Home &amp; Kitchen", 0.22*H401, C401="Beauty &amp; Personal Care", 0.3*H401, C401="Sports &amp; Fitness", 0.2*H401, TRUE, 0.15*H401), 2)</f>
        <v>#NAME?</v>
      </c>
      <c r="J401" s="19" t="s">
        <v>46</v>
      </c>
      <c r="K401" s="19" t="s">
        <v>47</v>
      </c>
      <c r="L401" s="16" t="s">
        <v>24</v>
      </c>
      <c r="M401" s="19" t="s">
        <v>76</v>
      </c>
    </row>
    <row r="402" spans="1:13" ht="12.75">
      <c r="A402" s="16" t="s">
        <v>557</v>
      </c>
      <c r="B402" s="17">
        <v>46291</v>
      </c>
      <c r="C402" s="19" t="s">
        <v>2</v>
      </c>
      <c r="D402" s="19" t="s">
        <v>207</v>
      </c>
      <c r="E402" s="3">
        <v>2</v>
      </c>
      <c r="F402" s="5">
        <v>349</v>
      </c>
      <c r="G402" s="4">
        <v>0.12</v>
      </c>
      <c r="H402" s="5">
        <f t="shared" si="1"/>
        <v>614.24</v>
      </c>
      <c r="I402" s="7" t="e">
        <f ca="1">ROUND(_xludf.IFS(L402="Cancelled", 0, L402="Returned", -0.1*H402, C402="Electronics", 0.14*H402, C402="Appliances", 0.16*H402, C402="Fashion", 0.26*H402, C402="Home &amp; Kitchen", 0.22*H402, C402="Beauty &amp; Personal Care", 0.3*H402, C402="Sports &amp; Fitness", 0.2*H402, TRUE, 0.15*H402), 2)</f>
        <v>#NAME?</v>
      </c>
      <c r="J402" s="19" t="s">
        <v>60</v>
      </c>
      <c r="K402" s="19" t="s">
        <v>56</v>
      </c>
      <c r="L402" s="16" t="s">
        <v>26</v>
      </c>
      <c r="M402" s="19" t="s">
        <v>61</v>
      </c>
    </row>
    <row r="403" spans="1:13" ht="12.75">
      <c r="A403" s="16" t="s">
        <v>558</v>
      </c>
      <c r="B403" s="17">
        <v>46293</v>
      </c>
      <c r="C403" s="19" t="s">
        <v>7</v>
      </c>
      <c r="D403" s="19" t="s">
        <v>12</v>
      </c>
      <c r="E403" s="3">
        <v>1</v>
      </c>
      <c r="F403" s="5">
        <v>31990</v>
      </c>
      <c r="G403" s="4">
        <v>0.16</v>
      </c>
      <c r="H403" s="5">
        <f t="shared" si="1"/>
        <v>26871.599999999999</v>
      </c>
      <c r="I403" s="7" t="e">
        <f ca="1">ROUND(_xludf.IFS(L403="Cancelled", 0, L403="Returned", -0.1*H403, C403="Electronics", 0.14*H403, C403="Appliances", 0.16*H403, C403="Fashion", 0.26*H403, C403="Home &amp; Kitchen", 0.22*H403, C403="Beauty &amp; Personal Care", 0.3*H403, C403="Sports &amp; Fitness", 0.2*H403, TRUE, 0.15*H403), 2)</f>
        <v>#NAME?</v>
      </c>
      <c r="J403" s="19" t="s">
        <v>51</v>
      </c>
      <c r="K403" s="19" t="s">
        <v>47</v>
      </c>
      <c r="L403" s="16" t="s">
        <v>24</v>
      </c>
      <c r="M403" s="19" t="s">
        <v>67</v>
      </c>
    </row>
    <row r="404" spans="1:13" ht="12.75">
      <c r="A404" s="16" t="s">
        <v>559</v>
      </c>
      <c r="B404" s="17">
        <v>46296</v>
      </c>
      <c r="C404" s="19" t="s">
        <v>5</v>
      </c>
      <c r="D404" s="19" t="s">
        <v>177</v>
      </c>
      <c r="E404" s="3">
        <v>2</v>
      </c>
      <c r="F404" s="5">
        <v>299</v>
      </c>
      <c r="G404" s="4">
        <v>0.1</v>
      </c>
      <c r="H404" s="5">
        <f t="shared" si="1"/>
        <v>538.20000000000005</v>
      </c>
      <c r="I404" s="7" t="e">
        <f ca="1">ROUND(_xludf.IFS(L404="Cancelled", 0, L404="Returned", -0.1*H404, C404="Electronics", 0.14*H404, C404="Appliances", 0.16*H404, C404="Fashion", 0.26*H404, C404="Home &amp; Kitchen", 0.22*H404, C404="Beauty &amp; Personal Care", 0.3*H404, C404="Sports &amp; Fitness", 0.2*H404, TRUE, 0.15*H404), 2)</f>
        <v>#NAME?</v>
      </c>
      <c r="J404" s="19" t="s">
        <v>46</v>
      </c>
      <c r="K404" s="19" t="s">
        <v>56</v>
      </c>
      <c r="L404" s="16" t="s">
        <v>24</v>
      </c>
      <c r="M404" s="19" t="s">
        <v>57</v>
      </c>
    </row>
    <row r="405" spans="1:13" ht="12.75">
      <c r="A405" s="16" t="s">
        <v>560</v>
      </c>
      <c r="B405" s="17">
        <v>46298</v>
      </c>
      <c r="C405" s="19" t="s">
        <v>6</v>
      </c>
      <c r="D405" s="19" t="s">
        <v>191</v>
      </c>
      <c r="E405" s="3">
        <v>2</v>
      </c>
      <c r="F405" s="5">
        <v>1199</v>
      </c>
      <c r="G405" s="4">
        <v>0.18</v>
      </c>
      <c r="H405" s="5">
        <f t="shared" si="1"/>
        <v>1966.36</v>
      </c>
      <c r="I405" s="7" t="e">
        <f ca="1">ROUND(_xludf.IFS(L405="Cancelled", 0, L405="Returned", -0.1*H405, C405="Electronics", 0.14*H405, C405="Appliances", 0.16*H405, C405="Fashion", 0.26*H405, C405="Home &amp; Kitchen", 0.22*H405, C405="Beauty &amp; Personal Care", 0.3*H405, C405="Sports &amp; Fitness", 0.2*H405, TRUE, 0.15*H405), 2)</f>
        <v>#NAME?</v>
      </c>
      <c r="J405" s="19" t="s">
        <v>46</v>
      </c>
      <c r="K405" s="19" t="s">
        <v>47</v>
      </c>
      <c r="L405" s="16" t="s">
        <v>24</v>
      </c>
      <c r="M405" s="19" t="s">
        <v>48</v>
      </c>
    </row>
    <row r="406" spans="1:13" ht="12.75">
      <c r="A406" s="16" t="s">
        <v>561</v>
      </c>
      <c r="B406" s="17">
        <v>46300</v>
      </c>
      <c r="C406" s="19" t="s">
        <v>4</v>
      </c>
      <c r="D406" s="19" t="s">
        <v>215</v>
      </c>
      <c r="E406" s="3">
        <v>1</v>
      </c>
      <c r="F406" s="5">
        <v>1049</v>
      </c>
      <c r="G406" s="4">
        <v>0.3</v>
      </c>
      <c r="H406" s="5">
        <f t="shared" si="1"/>
        <v>734.3</v>
      </c>
      <c r="I406" s="7" t="e">
        <f ca="1">ROUND(_xludf.IFS(L406="Cancelled", 0, L406="Returned", -0.1*H406, C406="Electronics", 0.14*H406, C406="Appliances", 0.16*H406, C406="Fashion", 0.26*H406, C406="Home &amp; Kitchen", 0.22*H406, C406="Beauty &amp; Personal Care", 0.3*H406, C406="Sports &amp; Fitness", 0.2*H406, TRUE, 0.15*H406), 2)</f>
        <v>#NAME?</v>
      </c>
      <c r="J406" s="19" t="s">
        <v>60</v>
      </c>
      <c r="K406" s="19" t="s">
        <v>47</v>
      </c>
      <c r="L406" s="16" t="s">
        <v>24</v>
      </c>
      <c r="M406" s="19" t="s">
        <v>64</v>
      </c>
    </row>
    <row r="407" spans="1:13" ht="12.75">
      <c r="A407" s="16" t="s">
        <v>562</v>
      </c>
      <c r="B407" s="17">
        <v>46302</v>
      </c>
      <c r="C407" s="19" t="s">
        <v>3</v>
      </c>
      <c r="D407" s="19" t="s">
        <v>228</v>
      </c>
      <c r="E407" s="3">
        <v>1</v>
      </c>
      <c r="F407" s="5">
        <v>1695</v>
      </c>
      <c r="G407" s="4">
        <v>0.15</v>
      </c>
      <c r="H407" s="5">
        <f t="shared" si="1"/>
        <v>1440.75</v>
      </c>
      <c r="I407" s="7" t="e">
        <f ca="1">ROUND(_xludf.IFS(L407="Cancelled", 0, L407="Returned", -0.1*H407, C407="Electronics", 0.14*H407, C407="Appliances", 0.16*H407, C407="Fashion", 0.26*H407, C407="Home &amp; Kitchen", 0.22*H407, C407="Beauty &amp; Personal Care", 0.3*H407, C407="Sports &amp; Fitness", 0.2*H407, TRUE, 0.15*H407), 2)</f>
        <v>#NAME?</v>
      </c>
      <c r="J407" s="19" t="s">
        <v>55</v>
      </c>
      <c r="K407" s="19" t="s">
        <v>47</v>
      </c>
      <c r="L407" s="16" t="s">
        <v>24</v>
      </c>
      <c r="M407" s="19" t="s">
        <v>52</v>
      </c>
    </row>
    <row r="408" spans="1:13" ht="12.75">
      <c r="A408" s="16" t="s">
        <v>563</v>
      </c>
      <c r="B408" s="17">
        <v>46304</v>
      </c>
      <c r="C408" s="19" t="s">
        <v>2</v>
      </c>
      <c r="D408" s="19" t="s">
        <v>219</v>
      </c>
      <c r="E408" s="3">
        <v>2</v>
      </c>
      <c r="F408" s="5">
        <v>549</v>
      </c>
      <c r="G408" s="4">
        <v>0.15</v>
      </c>
      <c r="H408" s="5">
        <f t="shared" si="1"/>
        <v>933.3</v>
      </c>
      <c r="I408" s="7" t="e">
        <f ca="1">ROUND(_xludf.IFS(L408="Cancelled", 0, L408="Returned", -0.1*H408, C408="Electronics", 0.14*H408, C408="Appliances", 0.16*H408, C408="Fashion", 0.26*H408, C408="Home &amp; Kitchen", 0.22*H408, C408="Beauty &amp; Personal Care", 0.3*H408, C408="Sports &amp; Fitness", 0.2*H408, TRUE, 0.15*H408), 2)</f>
        <v>#NAME?</v>
      </c>
      <c r="J408" s="19" t="s">
        <v>46</v>
      </c>
      <c r="K408" s="19" t="s">
        <v>47</v>
      </c>
      <c r="L408" s="16" t="s">
        <v>24</v>
      </c>
      <c r="M408" s="19" t="s">
        <v>73</v>
      </c>
    </row>
    <row r="409" spans="1:13" ht="12.75">
      <c r="A409" s="16" t="s">
        <v>564</v>
      </c>
      <c r="B409" s="17">
        <v>46306</v>
      </c>
      <c r="C409" s="19" t="s">
        <v>7</v>
      </c>
      <c r="D409" s="19" t="s">
        <v>29</v>
      </c>
      <c r="E409" s="3">
        <v>1</v>
      </c>
      <c r="F409" s="5">
        <v>7490</v>
      </c>
      <c r="G409" s="4">
        <v>0.2</v>
      </c>
      <c r="H409" s="5">
        <f t="shared" si="1"/>
        <v>5992</v>
      </c>
      <c r="I409" s="7" t="e">
        <f ca="1">ROUND(_xludf.IFS(L409="Cancelled", 0, L409="Returned", -0.1*H409, C409="Electronics", 0.14*H409, C409="Appliances", 0.16*H409, C409="Fashion", 0.26*H409, C409="Home &amp; Kitchen", 0.22*H409, C409="Beauty &amp; Personal Care", 0.3*H409, C409="Sports &amp; Fitness", 0.2*H409, TRUE, 0.15*H409), 2)</f>
        <v>#NAME?</v>
      </c>
      <c r="J409" s="19" t="s">
        <v>51</v>
      </c>
      <c r="K409" s="19" t="s">
        <v>56</v>
      </c>
      <c r="L409" s="16" t="s">
        <v>23</v>
      </c>
      <c r="M409" s="19" t="s">
        <v>80</v>
      </c>
    </row>
    <row r="410" spans="1:13" ht="12.75">
      <c r="A410" s="16" t="s">
        <v>565</v>
      </c>
      <c r="B410" s="17">
        <v>46308</v>
      </c>
      <c r="C410" s="19" t="s">
        <v>5</v>
      </c>
      <c r="D410" s="19" t="s">
        <v>211</v>
      </c>
      <c r="E410" s="3">
        <v>2</v>
      </c>
      <c r="F410" s="5">
        <v>1299</v>
      </c>
      <c r="G410" s="4">
        <v>0.15</v>
      </c>
      <c r="H410" s="5">
        <f t="shared" si="1"/>
        <v>2208.3000000000002</v>
      </c>
      <c r="I410" s="7" t="e">
        <f ca="1">ROUND(_xludf.IFS(L410="Cancelled", 0, L410="Returned", -0.1*H410, C410="Electronics", 0.14*H410, C410="Appliances", 0.16*H410, C410="Fashion", 0.26*H410, C410="Home &amp; Kitchen", 0.22*H410, C410="Beauty &amp; Personal Care", 0.3*H410, C410="Sports &amp; Fitness", 0.2*H410, TRUE, 0.15*H410), 2)</f>
        <v>#NAME?</v>
      </c>
      <c r="J410" s="19" t="s">
        <v>60</v>
      </c>
      <c r="K410" s="19" t="s">
        <v>56</v>
      </c>
      <c r="L410" s="16" t="s">
        <v>24</v>
      </c>
      <c r="M410" s="19" t="s">
        <v>109</v>
      </c>
    </row>
    <row r="411" spans="1:13" ht="12.75">
      <c r="A411" s="16" t="s">
        <v>566</v>
      </c>
      <c r="B411" s="17">
        <v>46310</v>
      </c>
      <c r="C411" s="19" t="s">
        <v>6</v>
      </c>
      <c r="D411" s="19" t="s">
        <v>13</v>
      </c>
      <c r="E411" s="3">
        <v>1</v>
      </c>
      <c r="F411" s="5">
        <v>37990</v>
      </c>
      <c r="G411" s="4">
        <v>0.08</v>
      </c>
      <c r="H411" s="5">
        <f t="shared" si="1"/>
        <v>34950.800000000003</v>
      </c>
      <c r="I411" s="7" t="e">
        <f ca="1">ROUND(_xludf.IFS(L411="Cancelled", 0, L411="Returned", -0.1*H411, C411="Electronics", 0.14*H411, C411="Appliances", 0.16*H411, C411="Fashion", 0.26*H411, C411="Home &amp; Kitchen", 0.22*H411, C411="Beauty &amp; Personal Care", 0.3*H411, C411="Sports &amp; Fitness", 0.2*H411, TRUE, 0.15*H411), 2)</f>
        <v>#NAME?</v>
      </c>
      <c r="J411" s="19" t="s">
        <v>51</v>
      </c>
      <c r="K411" s="19" t="s">
        <v>47</v>
      </c>
      <c r="L411" s="16" t="s">
        <v>24</v>
      </c>
      <c r="M411" s="19" t="s">
        <v>48</v>
      </c>
    </row>
    <row r="412" spans="1:13" ht="12.75">
      <c r="A412" s="16" t="s">
        <v>567</v>
      </c>
      <c r="B412" s="17">
        <v>46312</v>
      </c>
      <c r="C412" s="19" t="s">
        <v>4</v>
      </c>
      <c r="D412" s="19" t="s">
        <v>33</v>
      </c>
      <c r="E412" s="3">
        <v>2</v>
      </c>
      <c r="F412" s="5">
        <v>1149</v>
      </c>
      <c r="G412" s="4">
        <v>0.2</v>
      </c>
      <c r="H412" s="5">
        <f t="shared" si="1"/>
        <v>1838.4</v>
      </c>
      <c r="I412" s="7" t="e">
        <f ca="1">ROUND(_xludf.IFS(L412="Cancelled", 0, L412="Returned", -0.1*H412, C412="Electronics", 0.14*H412, C412="Appliances", 0.16*H412, C412="Fashion", 0.26*H412, C412="Home &amp; Kitchen", 0.22*H412, C412="Beauty &amp; Personal Care", 0.3*H412, C412="Sports &amp; Fitness", 0.2*H412, TRUE, 0.15*H412), 2)</f>
        <v>#NAME?</v>
      </c>
      <c r="J412" s="19" t="s">
        <v>46</v>
      </c>
      <c r="K412" s="19" t="s">
        <v>47</v>
      </c>
      <c r="L412" s="16" t="s">
        <v>24</v>
      </c>
      <c r="M412" s="19" t="s">
        <v>52</v>
      </c>
    </row>
    <row r="413" spans="1:13" ht="12.75">
      <c r="A413" s="16" t="s">
        <v>568</v>
      </c>
      <c r="B413" s="17">
        <v>46314</v>
      </c>
      <c r="C413" s="19" t="s">
        <v>3</v>
      </c>
      <c r="D413" s="19" t="s">
        <v>240</v>
      </c>
      <c r="E413" s="3">
        <v>2</v>
      </c>
      <c r="F413" s="5">
        <v>799</v>
      </c>
      <c r="G413" s="4">
        <v>0.12</v>
      </c>
      <c r="H413" s="5">
        <f t="shared" si="1"/>
        <v>1406.24</v>
      </c>
      <c r="I413" s="7" t="e">
        <f ca="1">ROUND(_xludf.IFS(L413="Cancelled", 0, L413="Returned", -0.1*H413, C413="Electronics", 0.14*H413, C413="Appliances", 0.16*H413, C413="Fashion", 0.26*H413, C413="Home &amp; Kitchen", 0.22*H413, C413="Beauty &amp; Personal Care", 0.3*H413, C413="Sports &amp; Fitness", 0.2*H413, TRUE, 0.15*H413), 2)</f>
        <v>#NAME?</v>
      </c>
      <c r="J413" s="19" t="s">
        <v>66</v>
      </c>
      <c r="K413" s="19" t="s">
        <v>47</v>
      </c>
      <c r="L413" s="16" t="s">
        <v>24</v>
      </c>
      <c r="M413" s="19" t="s">
        <v>64</v>
      </c>
    </row>
    <row r="414" spans="1:13" ht="12.75">
      <c r="A414" s="16" t="s">
        <v>569</v>
      </c>
      <c r="B414" s="17">
        <v>46316</v>
      </c>
      <c r="C414" s="19" t="s">
        <v>2</v>
      </c>
      <c r="D414" s="19" t="s">
        <v>230</v>
      </c>
      <c r="E414" s="3">
        <v>3</v>
      </c>
      <c r="F414" s="5">
        <v>299</v>
      </c>
      <c r="G414" s="4">
        <v>0.05</v>
      </c>
      <c r="H414" s="5">
        <f t="shared" si="1"/>
        <v>852.15</v>
      </c>
      <c r="I414" s="7" t="e">
        <f ca="1">ROUND(_xludf.IFS(L414="Cancelled", 0, L414="Returned", -0.1*H414, C414="Electronics", 0.14*H414, C414="Appliances", 0.16*H414, C414="Fashion", 0.26*H414, C414="Home &amp; Kitchen", 0.22*H414, C414="Beauty &amp; Personal Care", 0.3*H414, C414="Sports &amp; Fitness", 0.2*H414, TRUE, 0.15*H414), 2)</f>
        <v>#NAME?</v>
      </c>
      <c r="J414" s="19" t="s">
        <v>60</v>
      </c>
      <c r="K414" s="19" t="s">
        <v>47</v>
      </c>
      <c r="L414" s="16" t="s">
        <v>24</v>
      </c>
      <c r="M414" s="19" t="s">
        <v>57</v>
      </c>
    </row>
    <row r="415" spans="1:13" ht="12.75">
      <c r="A415" s="16" t="s">
        <v>570</v>
      </c>
      <c r="B415" s="17">
        <v>46318</v>
      </c>
      <c r="C415" s="19" t="s">
        <v>7</v>
      </c>
      <c r="D415" s="19" t="s">
        <v>263</v>
      </c>
      <c r="E415" s="3">
        <v>1</v>
      </c>
      <c r="F415" s="5">
        <v>3895</v>
      </c>
      <c r="G415" s="4">
        <v>0.18</v>
      </c>
      <c r="H415" s="5">
        <f t="shared" si="1"/>
        <v>3193.9</v>
      </c>
      <c r="I415" s="7" t="e">
        <f ca="1">ROUND(_xludf.IFS(L415="Cancelled", 0, L415="Returned", -0.1*H415, C415="Electronics", 0.14*H415, C415="Appliances", 0.16*H415, C415="Fashion", 0.26*H415, C415="Home &amp; Kitchen", 0.22*H415, C415="Beauty &amp; Personal Care", 0.3*H415, C415="Sports &amp; Fitness", 0.2*H415, TRUE, 0.15*H415), 2)</f>
        <v>#NAME?</v>
      </c>
      <c r="J415" s="19" t="s">
        <v>51</v>
      </c>
      <c r="K415" s="19" t="s">
        <v>47</v>
      </c>
      <c r="L415" s="16" t="s">
        <v>24</v>
      </c>
      <c r="M415" s="19" t="s">
        <v>67</v>
      </c>
    </row>
    <row r="416" spans="1:13" ht="12.75">
      <c r="A416" s="16" t="s">
        <v>571</v>
      </c>
      <c r="B416" s="17">
        <v>46320</v>
      </c>
      <c r="C416" s="19" t="s">
        <v>5</v>
      </c>
      <c r="D416" s="19" t="s">
        <v>223</v>
      </c>
      <c r="E416" s="3">
        <v>1</v>
      </c>
      <c r="F416" s="5">
        <v>999</v>
      </c>
      <c r="G416" s="4">
        <v>0.1</v>
      </c>
      <c r="H416" s="5">
        <f t="shared" si="1"/>
        <v>899.1</v>
      </c>
      <c r="I416" s="7" t="e">
        <f ca="1">ROUND(_xludf.IFS(L416="Cancelled", 0, L416="Returned", -0.1*H416, C416="Electronics", 0.14*H416, C416="Appliances", 0.16*H416, C416="Fashion", 0.26*H416, C416="Home &amp; Kitchen", 0.22*H416, C416="Beauty &amp; Personal Care", 0.3*H416, C416="Sports &amp; Fitness", 0.2*H416, TRUE, 0.15*H416), 2)</f>
        <v>#NAME?</v>
      </c>
      <c r="J416" s="19" t="s">
        <v>46</v>
      </c>
      <c r="K416" s="19" t="s">
        <v>56</v>
      </c>
      <c r="L416" s="16" t="s">
        <v>24</v>
      </c>
      <c r="M416" s="19" t="s">
        <v>114</v>
      </c>
    </row>
    <row r="417" spans="1:13" ht="12.75">
      <c r="A417" s="16" t="s">
        <v>572</v>
      </c>
      <c r="B417" s="17">
        <v>46322</v>
      </c>
      <c r="C417" s="19" t="s">
        <v>6</v>
      </c>
      <c r="D417" s="19" t="s">
        <v>213</v>
      </c>
      <c r="E417" s="3">
        <v>3</v>
      </c>
      <c r="F417" s="5">
        <v>399</v>
      </c>
      <c r="G417" s="4">
        <v>0.1</v>
      </c>
      <c r="H417" s="5">
        <f t="shared" si="1"/>
        <v>1077.3</v>
      </c>
      <c r="I417" s="7" t="e">
        <f ca="1">ROUND(_xludf.IFS(L417="Cancelled", 0, L417="Returned", -0.1*H417, C417="Electronics", 0.14*H417, C417="Appliances", 0.16*H417, C417="Fashion", 0.26*H417, C417="Home &amp; Kitchen", 0.22*H417, C417="Beauty &amp; Personal Care", 0.3*H417, C417="Sports &amp; Fitness", 0.2*H417, TRUE, 0.15*H417), 2)</f>
        <v>#NAME?</v>
      </c>
      <c r="J417" s="19" t="s">
        <v>66</v>
      </c>
      <c r="K417" s="19" t="s">
        <v>47</v>
      </c>
      <c r="L417" s="16" t="s">
        <v>24</v>
      </c>
      <c r="M417" s="19" t="s">
        <v>70</v>
      </c>
    </row>
    <row r="418" spans="1:13" ht="12.75">
      <c r="A418" s="16" t="s">
        <v>573</v>
      </c>
      <c r="B418" s="17">
        <v>46324</v>
      </c>
      <c r="C418" s="19" t="s">
        <v>4</v>
      </c>
      <c r="D418" s="19" t="s">
        <v>238</v>
      </c>
      <c r="E418" s="3">
        <v>1</v>
      </c>
      <c r="F418" s="5">
        <v>1499</v>
      </c>
      <c r="G418" s="4">
        <v>0.25</v>
      </c>
      <c r="H418" s="5">
        <f t="shared" si="1"/>
        <v>1124.25</v>
      </c>
      <c r="I418" s="7" t="e">
        <f ca="1">ROUND(_xludf.IFS(L418="Cancelled", 0, L418="Returned", -0.1*H418, C418="Electronics", 0.14*H418, C418="Appliances", 0.16*H418, C418="Fashion", 0.26*H418, C418="Home &amp; Kitchen", 0.22*H418, C418="Beauty &amp; Personal Care", 0.3*H418, C418="Sports &amp; Fitness", 0.2*H418, TRUE, 0.15*H418), 2)</f>
        <v>#NAME?</v>
      </c>
      <c r="J418" s="19" t="s">
        <v>51</v>
      </c>
      <c r="K418" s="19" t="s">
        <v>47</v>
      </c>
      <c r="L418" s="16" t="s">
        <v>24</v>
      </c>
      <c r="M418" s="19" t="s">
        <v>48</v>
      </c>
    </row>
    <row r="419" spans="1:13" ht="12.75">
      <c r="A419" s="16" t="s">
        <v>574</v>
      </c>
      <c r="B419" s="17">
        <v>46327</v>
      </c>
      <c r="C419" s="19" t="s">
        <v>3</v>
      </c>
      <c r="D419" s="19" t="s">
        <v>250</v>
      </c>
      <c r="E419" s="3">
        <v>1</v>
      </c>
      <c r="F419" s="5">
        <v>899</v>
      </c>
      <c r="G419" s="4">
        <v>0.15</v>
      </c>
      <c r="H419" s="5">
        <f t="shared" si="1"/>
        <v>764.15</v>
      </c>
      <c r="I419" s="7" t="e">
        <f ca="1">ROUND(_xludf.IFS(L419="Cancelled", 0, L419="Returned", -0.1*H419, C419="Electronics", 0.14*H419, C419="Appliances", 0.16*H419, C419="Fashion", 0.26*H419, C419="Home &amp; Kitchen", 0.22*H419, C419="Beauty &amp; Personal Care", 0.3*H419, C419="Sports &amp; Fitness", 0.2*H419, TRUE, 0.15*H419), 2)</f>
        <v>#NAME?</v>
      </c>
      <c r="J419" s="19" t="s">
        <v>46</v>
      </c>
      <c r="K419" s="19" t="s">
        <v>47</v>
      </c>
      <c r="L419" s="16" t="s">
        <v>24</v>
      </c>
      <c r="M419" s="19" t="s">
        <v>52</v>
      </c>
    </row>
    <row r="420" spans="1:13" ht="12.75">
      <c r="A420" s="16" t="s">
        <v>575</v>
      </c>
      <c r="B420" s="17">
        <v>46329</v>
      </c>
      <c r="C420" s="19" t="s">
        <v>2</v>
      </c>
      <c r="D420" s="19" t="s">
        <v>242</v>
      </c>
      <c r="E420" s="3">
        <v>1</v>
      </c>
      <c r="F420" s="5">
        <v>899</v>
      </c>
      <c r="G420" s="4">
        <v>0.1</v>
      </c>
      <c r="H420" s="5">
        <f t="shared" si="1"/>
        <v>809.1</v>
      </c>
      <c r="I420" s="7" t="e">
        <f ca="1">ROUND(_xludf.IFS(L420="Cancelled", 0, L420="Returned", -0.1*H420, C420="Electronics", 0.14*H420, C420="Appliances", 0.16*H420, C420="Fashion", 0.26*H420, C420="Home &amp; Kitchen", 0.22*H420, C420="Beauty &amp; Personal Care", 0.3*H420, C420="Sports &amp; Fitness", 0.2*H420, TRUE, 0.15*H420), 2)</f>
        <v>#NAME?</v>
      </c>
      <c r="J420" s="19" t="s">
        <v>55</v>
      </c>
      <c r="K420" s="19" t="s">
        <v>47</v>
      </c>
      <c r="L420" s="16" t="s">
        <v>24</v>
      </c>
      <c r="M420" s="19" t="s">
        <v>64</v>
      </c>
    </row>
    <row r="421" spans="1:13" ht="12.75">
      <c r="A421" s="16" t="s">
        <v>576</v>
      </c>
      <c r="B421" s="17">
        <v>46331</v>
      </c>
      <c r="C421" s="19" t="s">
        <v>7</v>
      </c>
      <c r="D421" s="19" t="s">
        <v>63</v>
      </c>
      <c r="E421" s="3">
        <v>1</v>
      </c>
      <c r="F421" s="5">
        <v>7999</v>
      </c>
      <c r="G421" s="4">
        <v>0.22</v>
      </c>
      <c r="H421" s="5">
        <f t="shared" si="1"/>
        <v>6239.22</v>
      </c>
      <c r="I421" s="7" t="e">
        <f ca="1">ROUND(_xludf.IFS(L421="Cancelled", 0, L421="Returned", -0.1*H421, C421="Electronics", 0.14*H421, C421="Appliances", 0.16*H421, C421="Fashion", 0.26*H421, C421="Home &amp; Kitchen", 0.22*H421, C421="Beauty &amp; Personal Care", 0.3*H421, C421="Sports &amp; Fitness", 0.2*H421, TRUE, 0.15*H421), 2)</f>
        <v>#NAME?</v>
      </c>
      <c r="J421" s="19" t="s">
        <v>51</v>
      </c>
      <c r="K421" s="19" t="s">
        <v>47</v>
      </c>
      <c r="L421" s="16" t="s">
        <v>24</v>
      </c>
      <c r="M421" s="19" t="s">
        <v>73</v>
      </c>
    </row>
    <row r="422" spans="1:13" ht="12.75">
      <c r="A422" s="16" t="s">
        <v>577</v>
      </c>
      <c r="B422" s="17">
        <v>46333</v>
      </c>
      <c r="C422" s="19" t="s">
        <v>5</v>
      </c>
      <c r="D422" s="19" t="s">
        <v>234</v>
      </c>
      <c r="E422" s="3">
        <v>3</v>
      </c>
      <c r="F422" s="5">
        <v>950</v>
      </c>
      <c r="G422" s="4">
        <v>0.08</v>
      </c>
      <c r="H422" s="5">
        <f t="shared" si="1"/>
        <v>2622</v>
      </c>
      <c r="I422" s="7" t="e">
        <f ca="1">ROUND(_xludf.IFS(L422="Cancelled", 0, L422="Returned", -0.1*H422, C422="Electronics", 0.14*H422, C422="Appliances", 0.16*H422, C422="Fashion", 0.26*H422, C422="Home &amp; Kitchen", 0.22*H422, C422="Beauty &amp; Personal Care", 0.3*H422, C422="Sports &amp; Fitness", 0.2*H422, TRUE, 0.15*H422), 2)</f>
        <v>#NAME?</v>
      </c>
      <c r="J422" s="19" t="s">
        <v>46</v>
      </c>
      <c r="K422" s="19" t="s">
        <v>56</v>
      </c>
      <c r="L422" s="16" t="s">
        <v>24</v>
      </c>
      <c r="M422" s="19" t="s">
        <v>76</v>
      </c>
    </row>
    <row r="423" spans="1:13" ht="12.75">
      <c r="A423" s="16" t="s">
        <v>578</v>
      </c>
      <c r="B423" s="17">
        <v>46335</v>
      </c>
      <c r="C423" s="19" t="s">
        <v>6</v>
      </c>
      <c r="D423" s="19" t="s">
        <v>225</v>
      </c>
      <c r="E423" s="3">
        <v>1</v>
      </c>
      <c r="F423" s="5">
        <v>1699</v>
      </c>
      <c r="G423" s="4">
        <v>0.12</v>
      </c>
      <c r="H423" s="5">
        <f t="shared" si="1"/>
        <v>1495.12</v>
      </c>
      <c r="I423" s="7" t="e">
        <f ca="1">ROUND(_xludf.IFS(L423="Cancelled", 0, L423="Returned", -0.1*H423, C423="Electronics", 0.14*H423, C423="Appliances", 0.16*H423, C423="Fashion", 0.26*H423, C423="Home &amp; Kitchen", 0.22*H423, C423="Beauty &amp; Personal Care", 0.3*H423, C423="Sports &amp; Fitness", 0.2*H423, TRUE, 0.15*H423), 2)</f>
        <v>#NAME?</v>
      </c>
      <c r="J423" s="19" t="s">
        <v>66</v>
      </c>
      <c r="K423" s="19" t="s">
        <v>47</v>
      </c>
      <c r="L423" s="16" t="s">
        <v>24</v>
      </c>
      <c r="M423" s="19" t="s">
        <v>48</v>
      </c>
    </row>
    <row r="424" spans="1:13" ht="12.75">
      <c r="A424" s="16" t="s">
        <v>579</v>
      </c>
      <c r="B424" s="17">
        <v>46337</v>
      </c>
      <c r="C424" s="19" t="s">
        <v>4</v>
      </c>
      <c r="D424" s="19" t="s">
        <v>248</v>
      </c>
      <c r="E424" s="3">
        <v>1</v>
      </c>
      <c r="F424" s="5">
        <v>2290</v>
      </c>
      <c r="G424" s="4">
        <v>0.2</v>
      </c>
      <c r="H424" s="5">
        <f t="shared" si="1"/>
        <v>1832</v>
      </c>
      <c r="I424" s="7" t="e">
        <f ca="1">ROUND(_xludf.IFS(L424="Cancelled", 0, L424="Returned", -0.1*H424, C424="Electronics", 0.14*H424, C424="Appliances", 0.16*H424, C424="Fashion", 0.26*H424, C424="Home &amp; Kitchen", 0.22*H424, C424="Beauty &amp; Personal Care", 0.3*H424, C424="Sports &amp; Fitness", 0.2*H424, TRUE, 0.15*H424), 2)</f>
        <v>#NAME?</v>
      </c>
      <c r="J424" s="19" t="s">
        <v>51</v>
      </c>
      <c r="K424" s="19" t="s">
        <v>47</v>
      </c>
      <c r="L424" s="16" t="s">
        <v>24</v>
      </c>
      <c r="M424" s="19" t="s">
        <v>57</v>
      </c>
    </row>
    <row r="425" spans="1:13" ht="12.75">
      <c r="A425" s="16" t="s">
        <v>580</v>
      </c>
      <c r="B425" s="17">
        <v>46339</v>
      </c>
      <c r="C425" s="19" t="s">
        <v>3</v>
      </c>
      <c r="D425" s="19" t="s">
        <v>54</v>
      </c>
      <c r="E425" s="3">
        <v>1</v>
      </c>
      <c r="F425" s="5">
        <v>3299</v>
      </c>
      <c r="G425" s="4">
        <v>0.15</v>
      </c>
      <c r="H425" s="5">
        <f t="shared" si="1"/>
        <v>2804.15</v>
      </c>
      <c r="I425" s="7" t="e">
        <f ca="1">ROUND(_xludf.IFS(L425="Cancelled", 0, L425="Returned", -0.1*H425, C425="Electronics", 0.14*H425, C425="Appliances", 0.16*H425, C425="Fashion", 0.26*H425, C425="Home &amp; Kitchen", 0.22*H425, C425="Beauty &amp; Personal Care", 0.3*H425, C425="Sports &amp; Fitness", 0.2*H425, TRUE, 0.15*H425), 2)</f>
        <v>#NAME?</v>
      </c>
      <c r="J425" s="19" t="s">
        <v>55</v>
      </c>
      <c r="K425" s="19" t="s">
        <v>56</v>
      </c>
      <c r="L425" s="16" t="s">
        <v>24</v>
      </c>
      <c r="M425" s="19" t="s">
        <v>61</v>
      </c>
    </row>
    <row r="426" spans="1:13" ht="12.75">
      <c r="A426" s="16" t="s">
        <v>581</v>
      </c>
      <c r="B426" s="17">
        <v>46341</v>
      </c>
      <c r="C426" s="19" t="s">
        <v>2</v>
      </c>
      <c r="D426" s="19" t="s">
        <v>252</v>
      </c>
      <c r="E426" s="3">
        <v>4</v>
      </c>
      <c r="F426" s="5">
        <v>199</v>
      </c>
      <c r="G426" s="4">
        <v>0.05</v>
      </c>
      <c r="H426" s="5">
        <f t="shared" si="1"/>
        <v>756.2</v>
      </c>
      <c r="I426" s="7" t="e">
        <f ca="1">ROUND(_xludf.IFS(L426="Cancelled", 0, L426="Returned", -0.1*H426, C426="Electronics", 0.14*H426, C426="Appliances", 0.16*H426, C426="Fashion", 0.26*H426, C426="Home &amp; Kitchen", 0.22*H426, C426="Beauty &amp; Personal Care", 0.3*H426, C426="Sports &amp; Fitness", 0.2*H426, TRUE, 0.15*H426), 2)</f>
        <v>#NAME?</v>
      </c>
      <c r="J426" s="19" t="s">
        <v>60</v>
      </c>
      <c r="K426" s="19" t="s">
        <v>47</v>
      </c>
      <c r="L426" s="16" t="s">
        <v>24</v>
      </c>
      <c r="M426" s="19" t="s">
        <v>64</v>
      </c>
    </row>
    <row r="427" spans="1:13" ht="12.75">
      <c r="A427" s="16" t="s">
        <v>582</v>
      </c>
      <c r="B427" s="17">
        <v>46343</v>
      </c>
      <c r="C427" s="19" t="s">
        <v>7</v>
      </c>
      <c r="D427" s="19" t="s">
        <v>84</v>
      </c>
      <c r="E427" s="3">
        <v>1</v>
      </c>
      <c r="F427" s="5">
        <v>2899</v>
      </c>
      <c r="G427" s="4">
        <v>0.18</v>
      </c>
      <c r="H427" s="5">
        <f t="shared" si="1"/>
        <v>2377.1799999999998</v>
      </c>
      <c r="I427" s="7" t="e">
        <f ca="1">ROUND(_xludf.IFS(L427="Cancelled", 0, L427="Returned", -0.1*H427, C427="Electronics", 0.14*H427, C427="Appliances", 0.16*H427, C427="Fashion", 0.26*H427, C427="Home &amp; Kitchen", 0.22*H427, C427="Beauty &amp; Personal Care", 0.3*H427, C427="Sports &amp; Fitness", 0.2*H427, TRUE, 0.15*H427), 2)</f>
        <v>#NAME?</v>
      </c>
      <c r="J427" s="19" t="s">
        <v>51</v>
      </c>
      <c r="K427" s="19" t="s">
        <v>47</v>
      </c>
      <c r="L427" s="16" t="s">
        <v>24</v>
      </c>
      <c r="M427" s="19" t="s">
        <v>52</v>
      </c>
    </row>
    <row r="428" spans="1:13" ht="12.75">
      <c r="A428" s="16" t="s">
        <v>583</v>
      </c>
      <c r="B428" s="17">
        <v>46345</v>
      </c>
      <c r="C428" s="19" t="s">
        <v>5</v>
      </c>
      <c r="D428" s="19" t="s">
        <v>245</v>
      </c>
      <c r="E428" s="3">
        <v>3</v>
      </c>
      <c r="F428" s="5">
        <v>249</v>
      </c>
      <c r="G428" s="4">
        <v>0.05</v>
      </c>
      <c r="H428" s="5">
        <f t="shared" si="1"/>
        <v>709.65</v>
      </c>
      <c r="I428" s="7" t="e">
        <f ca="1">ROUND(_xludf.IFS(L428="Cancelled", 0, L428="Returned", -0.1*H428, C428="Electronics", 0.14*H428, C428="Appliances", 0.16*H428, C428="Fashion", 0.26*H428, C428="Home &amp; Kitchen", 0.22*H428, C428="Beauty &amp; Personal Care", 0.3*H428, C428="Sports &amp; Fitness", 0.2*H428, TRUE, 0.15*H428), 2)</f>
        <v>#NAME?</v>
      </c>
      <c r="J428" s="19" t="s">
        <v>46</v>
      </c>
      <c r="K428" s="19" t="s">
        <v>56</v>
      </c>
      <c r="L428" s="16" t="s">
        <v>24</v>
      </c>
      <c r="M428" s="19" t="s">
        <v>90</v>
      </c>
    </row>
    <row r="429" spans="1:13" ht="12.75">
      <c r="A429" s="16" t="s">
        <v>584</v>
      </c>
      <c r="B429" s="17">
        <v>46347</v>
      </c>
      <c r="C429" s="19" t="s">
        <v>6</v>
      </c>
      <c r="D429" s="19" t="s">
        <v>236</v>
      </c>
      <c r="E429" s="3">
        <v>1</v>
      </c>
      <c r="F429" s="5">
        <v>4499</v>
      </c>
      <c r="G429" s="4">
        <v>0.15</v>
      </c>
      <c r="H429" s="5">
        <f t="shared" si="1"/>
        <v>3824.15</v>
      </c>
      <c r="I429" s="7" t="e">
        <f ca="1">ROUND(_xludf.IFS(L429="Cancelled", 0, L429="Returned", -0.1*H429, C429="Electronics", 0.14*H429, C429="Appliances", 0.16*H429, C429="Fashion", 0.26*H429, C429="Home &amp; Kitchen", 0.22*H429, C429="Beauty &amp; Personal Care", 0.3*H429, C429="Sports &amp; Fitness", 0.2*H429, TRUE, 0.15*H429), 2)</f>
        <v>#NAME?</v>
      </c>
      <c r="J429" s="19" t="s">
        <v>51</v>
      </c>
      <c r="K429" s="19" t="s">
        <v>47</v>
      </c>
      <c r="L429" s="16" t="s">
        <v>24</v>
      </c>
      <c r="M429" s="19" t="s">
        <v>67</v>
      </c>
    </row>
    <row r="430" spans="1:13" ht="12.75">
      <c r="A430" s="16" t="s">
        <v>585</v>
      </c>
      <c r="B430" s="17">
        <v>46349</v>
      </c>
      <c r="C430" s="19" t="s">
        <v>4</v>
      </c>
      <c r="D430" s="19" t="s">
        <v>258</v>
      </c>
      <c r="E430" s="3">
        <v>2</v>
      </c>
      <c r="F430" s="5">
        <v>1099</v>
      </c>
      <c r="G430" s="4">
        <v>0.22</v>
      </c>
      <c r="H430" s="5">
        <f t="shared" si="1"/>
        <v>1714.44</v>
      </c>
      <c r="I430" s="7" t="e">
        <f ca="1">ROUND(_xludf.IFS(L430="Cancelled", 0, L430="Returned", -0.1*H430, C430="Electronics", 0.14*H430, C430="Appliances", 0.16*H430, C430="Fashion", 0.26*H430, C430="Home &amp; Kitchen", 0.22*H430, C430="Beauty &amp; Personal Care", 0.3*H430, C430="Sports &amp; Fitness", 0.2*H430, TRUE, 0.15*H430), 2)</f>
        <v>#NAME?</v>
      </c>
      <c r="J430" s="19" t="s">
        <v>46</v>
      </c>
      <c r="K430" s="19" t="s">
        <v>47</v>
      </c>
      <c r="L430" s="16" t="s">
        <v>24</v>
      </c>
      <c r="M430" s="19" t="s">
        <v>48</v>
      </c>
    </row>
    <row r="431" spans="1:13" ht="12.75">
      <c r="A431" s="16" t="s">
        <v>586</v>
      </c>
      <c r="B431" s="17">
        <v>46351</v>
      </c>
      <c r="C431" s="19" t="s">
        <v>3</v>
      </c>
      <c r="D431" s="19" t="s">
        <v>75</v>
      </c>
      <c r="E431" s="3">
        <v>1</v>
      </c>
      <c r="F431" s="5">
        <v>1899</v>
      </c>
      <c r="G431" s="4">
        <v>0.15</v>
      </c>
      <c r="H431" s="5">
        <f t="shared" si="1"/>
        <v>1614.15</v>
      </c>
      <c r="I431" s="7" t="e">
        <f ca="1">ROUND(_xludf.IFS(L431="Cancelled", 0, L431="Returned", -0.1*H431, C431="Electronics", 0.14*H431, C431="Appliances", 0.16*H431, C431="Fashion", 0.26*H431, C431="Home &amp; Kitchen", 0.22*H431, C431="Beauty &amp; Personal Care", 0.3*H431, C431="Sports &amp; Fitness", 0.2*H431, TRUE, 0.15*H431), 2)</f>
        <v>#NAME?</v>
      </c>
      <c r="J431" s="19" t="s">
        <v>55</v>
      </c>
      <c r="K431" s="19" t="s">
        <v>47</v>
      </c>
      <c r="L431" s="16" t="s">
        <v>24</v>
      </c>
      <c r="M431" s="19" t="s">
        <v>70</v>
      </c>
    </row>
    <row r="432" spans="1:13" ht="12.75">
      <c r="A432" s="16" t="s">
        <v>587</v>
      </c>
      <c r="B432" s="17">
        <v>46353</v>
      </c>
      <c r="C432" s="19" t="s">
        <v>2</v>
      </c>
      <c r="D432" s="19" t="s">
        <v>261</v>
      </c>
      <c r="E432" s="3">
        <v>2</v>
      </c>
      <c r="F432" s="5">
        <v>499</v>
      </c>
      <c r="G432" s="4">
        <v>0.12</v>
      </c>
      <c r="H432" s="5">
        <f t="shared" si="1"/>
        <v>878.24</v>
      </c>
      <c r="I432" s="7" t="e">
        <f ca="1">ROUND(_xludf.IFS(L432="Cancelled", 0, L432="Returned", -0.1*H432, C432="Electronics", 0.14*H432, C432="Appliances", 0.16*H432, C432="Fashion", 0.26*H432, C432="Home &amp; Kitchen", 0.22*H432, C432="Beauty &amp; Personal Care", 0.3*H432, C432="Sports &amp; Fitness", 0.2*H432, TRUE, 0.15*H432), 2)</f>
        <v>#NAME?</v>
      </c>
      <c r="J432" s="19" t="s">
        <v>60</v>
      </c>
      <c r="K432" s="19" t="s">
        <v>47</v>
      </c>
      <c r="L432" s="16" t="s">
        <v>24</v>
      </c>
      <c r="M432" s="19" t="s">
        <v>106</v>
      </c>
    </row>
    <row r="433" spans="1:13" ht="12.75">
      <c r="A433" s="16" t="s">
        <v>588</v>
      </c>
      <c r="B433" s="17">
        <v>46355</v>
      </c>
      <c r="C433" s="19" t="s">
        <v>7</v>
      </c>
      <c r="D433" s="19" t="s">
        <v>98</v>
      </c>
      <c r="E433" s="3">
        <v>1</v>
      </c>
      <c r="F433" s="5">
        <v>7792</v>
      </c>
      <c r="G433" s="4">
        <v>0.2</v>
      </c>
      <c r="H433" s="5">
        <f t="shared" si="1"/>
        <v>6233.6</v>
      </c>
      <c r="I433" s="7" t="e">
        <f ca="1">ROUND(_xludf.IFS(L433="Cancelled", 0, L433="Returned", -0.1*H433, C433="Electronics", 0.14*H433, C433="Appliances", 0.16*H433, C433="Fashion", 0.26*H433, C433="Home &amp; Kitchen", 0.22*H433, C433="Beauty &amp; Personal Care", 0.3*H433, C433="Sports &amp; Fitness", 0.2*H433, TRUE, 0.15*H433), 2)</f>
        <v>#NAME?</v>
      </c>
      <c r="J433" s="19" t="s">
        <v>51</v>
      </c>
      <c r="K433" s="19" t="s">
        <v>47</v>
      </c>
      <c r="L433" s="16" t="s">
        <v>24</v>
      </c>
      <c r="M433" s="19" t="s">
        <v>64</v>
      </c>
    </row>
    <row r="434" spans="1:13" ht="12.75">
      <c r="A434" s="16" t="s">
        <v>589</v>
      </c>
      <c r="B434" s="17">
        <v>46357</v>
      </c>
      <c r="C434" s="19" t="s">
        <v>5</v>
      </c>
      <c r="D434" s="19" t="s">
        <v>255</v>
      </c>
      <c r="E434" s="3">
        <v>2</v>
      </c>
      <c r="F434" s="5">
        <v>349</v>
      </c>
      <c r="G434" s="4">
        <v>0.1</v>
      </c>
      <c r="H434" s="5">
        <f t="shared" si="1"/>
        <v>628.20000000000005</v>
      </c>
      <c r="I434" s="7" t="e">
        <f ca="1">ROUND(_xludf.IFS(L434="Cancelled", 0, L434="Returned", -0.1*H434, C434="Electronics", 0.14*H434, C434="Appliances", 0.16*H434, C434="Fashion", 0.26*H434, C434="Home &amp; Kitchen", 0.22*H434, C434="Beauty &amp; Personal Care", 0.3*H434, C434="Sports &amp; Fitness", 0.2*H434, TRUE, 0.15*H434), 2)</f>
        <v>#NAME?</v>
      </c>
      <c r="J434" s="19" t="s">
        <v>60</v>
      </c>
      <c r="K434" s="19" t="s">
        <v>56</v>
      </c>
      <c r="L434" s="16" t="s">
        <v>26</v>
      </c>
      <c r="M434" s="19" t="s">
        <v>52</v>
      </c>
    </row>
    <row r="435" spans="1:13" ht="12.75">
      <c r="A435" s="16" t="s">
        <v>590</v>
      </c>
      <c r="B435" s="17">
        <v>46359</v>
      </c>
      <c r="C435" s="19" t="s">
        <v>6</v>
      </c>
      <c r="D435" s="19" t="s">
        <v>45</v>
      </c>
      <c r="E435" s="3">
        <v>2</v>
      </c>
      <c r="F435" s="5">
        <v>1499</v>
      </c>
      <c r="G435" s="4">
        <v>0.1</v>
      </c>
      <c r="H435" s="5">
        <f t="shared" si="1"/>
        <v>2698.2</v>
      </c>
      <c r="I435" s="7" t="e">
        <f ca="1">ROUND(_xludf.IFS(L435="Cancelled", 0, L435="Returned", -0.1*H435, C435="Electronics", 0.14*H435, C435="Appliances", 0.16*H435, C435="Fashion", 0.26*H435, C435="Home &amp; Kitchen", 0.22*H435, C435="Beauty &amp; Personal Care", 0.3*H435, C435="Sports &amp; Fitness", 0.2*H435, TRUE, 0.15*H435), 2)</f>
        <v>#NAME?</v>
      </c>
      <c r="J435" s="19" t="s">
        <v>46</v>
      </c>
      <c r="K435" s="19" t="s">
        <v>47</v>
      </c>
      <c r="L435" s="16" t="s">
        <v>24</v>
      </c>
      <c r="M435" s="19" t="s">
        <v>48</v>
      </c>
    </row>
    <row r="436" spans="1:13" ht="12.75">
      <c r="A436" s="16" t="s">
        <v>591</v>
      </c>
      <c r="B436" s="17">
        <v>46361</v>
      </c>
      <c r="C436" s="19" t="s">
        <v>4</v>
      </c>
      <c r="D436" s="19" t="s">
        <v>50</v>
      </c>
      <c r="E436" s="3">
        <v>1</v>
      </c>
      <c r="F436" s="5">
        <v>2499</v>
      </c>
      <c r="G436" s="4">
        <v>0.2</v>
      </c>
      <c r="H436" s="5">
        <f t="shared" si="1"/>
        <v>1999.2</v>
      </c>
      <c r="I436" s="7" t="e">
        <f ca="1">ROUND(_xludf.IFS(L436="Cancelled", 0, L436="Returned", -0.1*H436, C436="Electronics", 0.14*H436, C436="Appliances", 0.16*H436, C436="Fashion", 0.26*H436, C436="Home &amp; Kitchen", 0.22*H436, C436="Beauty &amp; Personal Care", 0.3*H436, C436="Sports &amp; Fitness", 0.2*H436, TRUE, 0.15*H436), 2)</f>
        <v>#NAME?</v>
      </c>
      <c r="J436" s="19" t="s">
        <v>51</v>
      </c>
      <c r="K436" s="19" t="s">
        <v>47</v>
      </c>
      <c r="L436" s="16" t="s">
        <v>24</v>
      </c>
      <c r="M436" s="19" t="s">
        <v>57</v>
      </c>
    </row>
    <row r="437" spans="1:13" ht="12.75">
      <c r="A437" s="16" t="s">
        <v>592</v>
      </c>
      <c r="B437" s="17">
        <v>46363</v>
      </c>
      <c r="C437" s="19" t="s">
        <v>3</v>
      </c>
      <c r="D437" s="19" t="s">
        <v>92</v>
      </c>
      <c r="E437" s="3">
        <v>3</v>
      </c>
      <c r="F437" s="5">
        <v>980</v>
      </c>
      <c r="G437" s="4">
        <v>0.08</v>
      </c>
      <c r="H437" s="5">
        <f t="shared" si="1"/>
        <v>2704.8</v>
      </c>
      <c r="I437" s="7" t="e">
        <f ca="1">ROUND(_xludf.IFS(L437="Cancelled", 0, L437="Returned", -0.1*H437, C437="Electronics", 0.14*H437, C437="Appliances", 0.16*H437, C437="Fashion", 0.26*H437, C437="Home &amp; Kitchen", 0.22*H437, C437="Beauty &amp; Personal Care", 0.3*H437, C437="Sports &amp; Fitness", 0.2*H437, TRUE, 0.15*H437), 2)</f>
        <v>#NAME?</v>
      </c>
      <c r="J437" s="19" t="s">
        <v>55</v>
      </c>
      <c r="K437" s="19" t="s">
        <v>47</v>
      </c>
      <c r="L437" s="16" t="s">
        <v>24</v>
      </c>
      <c r="M437" s="19" t="s">
        <v>73</v>
      </c>
    </row>
    <row r="438" spans="1:13" ht="12.75">
      <c r="A438" s="16" t="s">
        <v>593</v>
      </c>
      <c r="B438" s="17">
        <v>46365</v>
      </c>
      <c r="C438" s="19" t="s">
        <v>2</v>
      </c>
      <c r="D438" s="19" t="s">
        <v>59</v>
      </c>
      <c r="E438" s="3">
        <v>3</v>
      </c>
      <c r="F438" s="5">
        <v>399</v>
      </c>
      <c r="G438" s="4">
        <v>0.05</v>
      </c>
      <c r="H438" s="5">
        <f t="shared" si="1"/>
        <v>1137.1500000000001</v>
      </c>
      <c r="I438" s="7" t="e">
        <f ca="1">ROUND(_xludf.IFS(L438="Cancelled", 0, L438="Returned", -0.1*H438, C438="Electronics", 0.14*H438, C438="Appliances", 0.16*H438, C438="Fashion", 0.26*H438, C438="Home &amp; Kitchen", 0.22*H438, C438="Beauty &amp; Personal Care", 0.3*H438, C438="Sports &amp; Fitness", 0.2*H438, TRUE, 0.15*H438), 2)</f>
        <v>#NAME?</v>
      </c>
      <c r="J438" s="19" t="s">
        <v>60</v>
      </c>
      <c r="K438" s="19" t="s">
        <v>47</v>
      </c>
      <c r="L438" s="16" t="s">
        <v>24</v>
      </c>
      <c r="M438" s="19" t="s">
        <v>61</v>
      </c>
    </row>
    <row r="439" spans="1:13" ht="12.75">
      <c r="A439" s="16" t="s">
        <v>594</v>
      </c>
      <c r="B439" s="17">
        <v>46367</v>
      </c>
      <c r="C439" s="19" t="s">
        <v>7</v>
      </c>
      <c r="D439" s="19" t="s">
        <v>113</v>
      </c>
      <c r="E439" s="3">
        <v>2</v>
      </c>
      <c r="F439" s="5">
        <v>2199</v>
      </c>
      <c r="G439" s="4">
        <v>0.12</v>
      </c>
      <c r="H439" s="5">
        <f t="shared" si="1"/>
        <v>3870.24</v>
      </c>
      <c r="I439" s="7" t="e">
        <f ca="1">ROUND(_xludf.IFS(L439="Cancelled", 0, L439="Returned", -0.1*H439, C439="Electronics", 0.14*H439, C439="Appliances", 0.16*H439, C439="Fashion", 0.26*H439, C439="Home &amp; Kitchen", 0.22*H439, C439="Beauty &amp; Personal Care", 0.3*H439, C439="Sports &amp; Fitness", 0.2*H439, TRUE, 0.15*H439), 2)</f>
        <v>#NAME?</v>
      </c>
      <c r="J439" s="19" t="s">
        <v>51</v>
      </c>
      <c r="K439" s="19" t="s">
        <v>47</v>
      </c>
      <c r="L439" s="16" t="s">
        <v>24</v>
      </c>
      <c r="M439" s="19" t="s">
        <v>52</v>
      </c>
    </row>
    <row r="440" spans="1:13" ht="12.75">
      <c r="A440" s="16" t="s">
        <v>595</v>
      </c>
      <c r="B440" s="17">
        <v>46369</v>
      </c>
      <c r="C440" s="19" t="s">
        <v>5</v>
      </c>
      <c r="D440" s="19" t="s">
        <v>265</v>
      </c>
      <c r="E440" s="3">
        <v>1</v>
      </c>
      <c r="F440" s="5">
        <v>649</v>
      </c>
      <c r="G440" s="4">
        <v>0.15</v>
      </c>
      <c r="H440" s="5">
        <f t="shared" si="1"/>
        <v>551.65</v>
      </c>
      <c r="I440" s="7" t="e">
        <f ca="1">ROUND(_xludf.IFS(L440="Cancelled", 0, L440="Returned", -0.1*H440, C440="Electronics", 0.14*H440, C440="Appliances", 0.16*H440, C440="Fashion", 0.26*H440, C440="Home &amp; Kitchen", 0.22*H440, C440="Beauty &amp; Personal Care", 0.3*H440, C440="Sports &amp; Fitness", 0.2*H440, TRUE, 0.15*H440), 2)</f>
        <v>#NAME?</v>
      </c>
      <c r="J440" s="19" t="s">
        <v>46</v>
      </c>
      <c r="K440" s="19" t="s">
        <v>56</v>
      </c>
      <c r="L440" s="16" t="s">
        <v>24</v>
      </c>
      <c r="M440" s="19" t="s">
        <v>64</v>
      </c>
    </row>
    <row r="441" spans="1:13" ht="12.75">
      <c r="A441" s="16" t="s">
        <v>596</v>
      </c>
      <c r="B441" s="17">
        <v>46371</v>
      </c>
      <c r="C441" s="19" t="s">
        <v>6</v>
      </c>
      <c r="D441" s="19" t="s">
        <v>17</v>
      </c>
      <c r="E441" s="3">
        <v>1</v>
      </c>
      <c r="F441" s="5">
        <v>19999</v>
      </c>
      <c r="G441" s="4">
        <v>0.08</v>
      </c>
      <c r="H441" s="5">
        <f t="shared" si="1"/>
        <v>18399.080000000002</v>
      </c>
      <c r="I441" s="7" t="e">
        <f ca="1">ROUND(_xludf.IFS(L441="Cancelled", 0, L441="Returned", -0.1*H441, C441="Electronics", 0.14*H441, C441="Appliances", 0.16*H441, C441="Fashion", 0.26*H441, C441="Home &amp; Kitchen", 0.22*H441, C441="Beauty &amp; Personal Care", 0.3*H441, C441="Sports &amp; Fitness", 0.2*H441, TRUE, 0.15*H441), 2)</f>
        <v>#NAME?</v>
      </c>
      <c r="J441" s="19" t="s">
        <v>66</v>
      </c>
      <c r="K441" s="19" t="s">
        <v>47</v>
      </c>
      <c r="L441" s="16" t="s">
        <v>24</v>
      </c>
      <c r="M441" s="19" t="s">
        <v>48</v>
      </c>
    </row>
    <row r="442" spans="1:13" ht="12.75">
      <c r="A442" s="16" t="s">
        <v>597</v>
      </c>
      <c r="B442" s="17">
        <v>46372</v>
      </c>
      <c r="C442" s="19" t="s">
        <v>4</v>
      </c>
      <c r="D442" s="19" t="s">
        <v>72</v>
      </c>
      <c r="E442" s="3">
        <v>2</v>
      </c>
      <c r="F442" s="5">
        <v>1299</v>
      </c>
      <c r="G442" s="4">
        <v>0.28000000000000003</v>
      </c>
      <c r="H442" s="5">
        <f t="shared" si="1"/>
        <v>1870.56</v>
      </c>
      <c r="I442" s="7" t="e">
        <f ca="1">ROUND(_xludf.IFS(L442="Cancelled", 0, L442="Returned", -0.1*H442, C442="Electronics", 0.14*H442, C442="Appliances", 0.16*H442, C442="Fashion", 0.26*H442, C442="Home &amp; Kitchen", 0.22*H442, C442="Beauty &amp; Personal Care", 0.3*H442, C442="Sports &amp; Fitness", 0.2*H442, TRUE, 0.15*H442), 2)</f>
        <v>#NAME?</v>
      </c>
      <c r="J442" s="19" t="s">
        <v>46</v>
      </c>
      <c r="K442" s="19" t="s">
        <v>47</v>
      </c>
      <c r="L442" s="16" t="s">
        <v>24</v>
      </c>
      <c r="M442" s="19" t="s">
        <v>64</v>
      </c>
    </row>
    <row r="443" spans="1:13" ht="12.75">
      <c r="A443" s="16" t="s">
        <v>598</v>
      </c>
      <c r="B443" s="17">
        <v>46373</v>
      </c>
      <c r="C443" s="19" t="s">
        <v>3</v>
      </c>
      <c r="D443" s="19" t="s">
        <v>103</v>
      </c>
      <c r="E443" s="3">
        <v>1</v>
      </c>
      <c r="F443" s="5">
        <v>1750</v>
      </c>
      <c r="G443" s="4">
        <v>0.1</v>
      </c>
      <c r="H443" s="5">
        <f t="shared" si="1"/>
        <v>1575</v>
      </c>
      <c r="I443" s="7" t="e">
        <f ca="1">ROUND(_xludf.IFS(L443="Cancelled", 0, L443="Returned", -0.1*H443, C443="Electronics", 0.14*H443, C443="Appliances", 0.16*H443, C443="Fashion", 0.26*H443, C443="Home &amp; Kitchen", 0.22*H443, C443="Beauty &amp; Personal Care", 0.3*H443, C443="Sports &amp; Fitness", 0.2*H443, TRUE, 0.15*H443), 2)</f>
        <v>#NAME?</v>
      </c>
      <c r="J443" s="19" t="s">
        <v>55</v>
      </c>
      <c r="K443" s="19" t="s">
        <v>47</v>
      </c>
      <c r="L443" s="16" t="s">
        <v>24</v>
      </c>
      <c r="M443" s="19" t="s">
        <v>52</v>
      </c>
    </row>
    <row r="444" spans="1:13" ht="12.75">
      <c r="A444" s="16" t="s">
        <v>599</v>
      </c>
      <c r="B444" s="17">
        <v>46374</v>
      </c>
      <c r="C444" s="19" t="s">
        <v>2</v>
      </c>
      <c r="D444" s="19" t="s">
        <v>82</v>
      </c>
      <c r="E444" s="3">
        <v>3</v>
      </c>
      <c r="F444" s="5">
        <v>650</v>
      </c>
      <c r="G444" s="4">
        <v>0.1</v>
      </c>
      <c r="H444" s="5">
        <f t="shared" si="1"/>
        <v>1755</v>
      </c>
      <c r="I444" s="7" t="e">
        <f ca="1">ROUND(_xludf.IFS(L444="Cancelled", 0, L444="Returned", -0.1*H444, C444="Electronics", 0.14*H444, C444="Appliances", 0.16*H444, C444="Fashion", 0.26*H444, C444="Home &amp; Kitchen", 0.22*H444, C444="Beauty &amp; Personal Care", 0.3*H444, C444="Sports &amp; Fitness", 0.2*H444, TRUE, 0.15*H444), 2)</f>
        <v>#NAME?</v>
      </c>
      <c r="J444" s="19" t="s">
        <v>60</v>
      </c>
      <c r="K444" s="19" t="s">
        <v>47</v>
      </c>
      <c r="L444" s="16" t="s">
        <v>24</v>
      </c>
      <c r="M444" s="19" t="s">
        <v>48</v>
      </c>
    </row>
    <row r="445" spans="1:13" ht="12.75">
      <c r="A445" s="16" t="s">
        <v>600</v>
      </c>
      <c r="B445" s="17">
        <v>46375</v>
      </c>
      <c r="C445" s="19" t="s">
        <v>7</v>
      </c>
      <c r="D445" s="19" t="s">
        <v>130</v>
      </c>
      <c r="E445" s="3">
        <v>1</v>
      </c>
      <c r="F445" s="5">
        <v>14999</v>
      </c>
      <c r="G445" s="4">
        <v>0.15</v>
      </c>
      <c r="H445" s="5">
        <f t="shared" si="1"/>
        <v>12749.15</v>
      </c>
      <c r="I445" s="7" t="e">
        <f ca="1">ROUND(_xludf.IFS(L445="Cancelled", 0, L445="Returned", -0.1*H445, C445="Electronics", 0.14*H445, C445="Appliances", 0.16*H445, C445="Fashion", 0.26*H445, C445="Home &amp; Kitchen", 0.22*H445, C445="Beauty &amp; Personal Care", 0.3*H445, C445="Sports &amp; Fitness", 0.2*H445, TRUE, 0.15*H445), 2)</f>
        <v>#NAME?</v>
      </c>
      <c r="J445" s="19" t="s">
        <v>51</v>
      </c>
      <c r="K445" s="19" t="s">
        <v>47</v>
      </c>
      <c r="L445" s="16" t="s">
        <v>24</v>
      </c>
      <c r="M445" s="19" t="s">
        <v>67</v>
      </c>
    </row>
    <row r="446" spans="1:13" ht="12.75">
      <c r="A446" s="16" t="s">
        <v>601</v>
      </c>
      <c r="B446" s="17">
        <v>46375</v>
      </c>
      <c r="C446" s="19" t="s">
        <v>5</v>
      </c>
      <c r="D446" s="19" t="s">
        <v>89</v>
      </c>
      <c r="E446" s="3">
        <v>1</v>
      </c>
      <c r="F446" s="5">
        <v>1249</v>
      </c>
      <c r="G446" s="4">
        <v>0.15</v>
      </c>
      <c r="H446" s="5">
        <f t="shared" si="1"/>
        <v>1061.6500000000001</v>
      </c>
      <c r="I446" s="7" t="e">
        <f ca="1">ROUND(_xludf.IFS(L446="Cancelled", 0, L446="Returned", -0.1*H446, C446="Electronics", 0.14*H446, C446="Appliances", 0.16*H446, C446="Fashion", 0.26*H446, C446="Home &amp; Kitchen", 0.22*H446, C446="Beauty &amp; Personal Care", 0.3*H446, C446="Sports &amp; Fitness", 0.2*H446, TRUE, 0.15*H446), 2)</f>
        <v>#NAME?</v>
      </c>
      <c r="J446" s="19" t="s">
        <v>46</v>
      </c>
      <c r="K446" s="19" t="s">
        <v>56</v>
      </c>
      <c r="L446" s="16" t="s">
        <v>24</v>
      </c>
      <c r="M446" s="19" t="s">
        <v>70</v>
      </c>
    </row>
    <row r="447" spans="1:13" ht="12.75">
      <c r="A447" s="16" t="s">
        <v>602</v>
      </c>
      <c r="B447" s="17">
        <v>46376</v>
      </c>
      <c r="C447" s="19" t="s">
        <v>6</v>
      </c>
      <c r="D447" s="19" t="s">
        <v>78</v>
      </c>
      <c r="E447" s="3">
        <v>1</v>
      </c>
      <c r="F447" s="5">
        <v>1799</v>
      </c>
      <c r="G447" s="4">
        <v>0.18</v>
      </c>
      <c r="H447" s="5">
        <f t="shared" si="1"/>
        <v>1475.18</v>
      </c>
      <c r="I447" s="7" t="e">
        <f ca="1">ROUND(_xludf.IFS(L447="Cancelled", 0, L447="Returned", -0.1*H447, C447="Electronics", 0.14*H447, C447="Appliances", 0.16*H447, C447="Fashion", 0.26*H447, C447="Home &amp; Kitchen", 0.22*H447, C447="Beauty &amp; Personal Care", 0.3*H447, C447="Sports &amp; Fitness", 0.2*H447, TRUE, 0.15*H447), 2)</f>
        <v>#NAME?</v>
      </c>
      <c r="J447" s="19" t="s">
        <v>79</v>
      </c>
      <c r="K447" s="19" t="s">
        <v>47</v>
      </c>
      <c r="L447" s="16" t="s">
        <v>24</v>
      </c>
      <c r="M447" s="19" t="s">
        <v>64</v>
      </c>
    </row>
    <row r="448" spans="1:13" ht="12.75">
      <c r="A448" s="16" t="s">
        <v>603</v>
      </c>
      <c r="B448" s="17">
        <v>46376</v>
      </c>
      <c r="C448" s="19" t="s">
        <v>4</v>
      </c>
      <c r="D448" s="19" t="s">
        <v>31</v>
      </c>
      <c r="E448" s="3">
        <v>1</v>
      </c>
      <c r="F448" s="5">
        <v>3499</v>
      </c>
      <c r="G448" s="4">
        <v>0.22</v>
      </c>
      <c r="H448" s="5">
        <f t="shared" si="1"/>
        <v>2729.22</v>
      </c>
      <c r="I448" s="7" t="e">
        <f ca="1">ROUND(_xludf.IFS(L448="Cancelled", 0, L448="Returned", -0.1*H448, C448="Electronics", 0.14*H448, C448="Appliances", 0.16*H448, C448="Fashion", 0.26*H448, C448="Home &amp; Kitchen", 0.22*H448, C448="Beauty &amp; Personal Care", 0.3*H448, C448="Sports &amp; Fitness", 0.2*H448, TRUE, 0.15*H448), 2)</f>
        <v>#NAME?</v>
      </c>
      <c r="J448" s="19" t="s">
        <v>51</v>
      </c>
      <c r="K448" s="19" t="s">
        <v>56</v>
      </c>
      <c r="L448" s="16" t="s">
        <v>23</v>
      </c>
      <c r="M448" s="19" t="s">
        <v>52</v>
      </c>
    </row>
    <row r="449" spans="1:13" ht="12.75">
      <c r="A449" s="16" t="s">
        <v>604</v>
      </c>
      <c r="B449" s="17">
        <v>46377</v>
      </c>
      <c r="C449" s="19" t="s">
        <v>3</v>
      </c>
      <c r="D449" s="19" t="s">
        <v>120</v>
      </c>
      <c r="E449" s="3">
        <v>1</v>
      </c>
      <c r="F449" s="5">
        <v>995</v>
      </c>
      <c r="G449" s="4">
        <v>0.1</v>
      </c>
      <c r="H449" s="5">
        <f t="shared" si="1"/>
        <v>895.5</v>
      </c>
      <c r="I449" s="7" t="e">
        <f ca="1">ROUND(_xludf.IFS(L449="Cancelled", 0, L449="Returned", -0.1*H449, C449="Electronics", 0.14*H449, C449="Appliances", 0.16*H449, C449="Fashion", 0.26*H449, C449="Home &amp; Kitchen", 0.22*H449, C449="Beauty &amp; Personal Care", 0.3*H449, C449="Sports &amp; Fitness", 0.2*H449, TRUE, 0.15*H449), 2)</f>
        <v>#NAME?</v>
      </c>
      <c r="J449" s="19" t="s">
        <v>66</v>
      </c>
      <c r="K449" s="19" t="s">
        <v>47</v>
      </c>
      <c r="L449" s="16" t="s">
        <v>24</v>
      </c>
      <c r="M449" s="19" t="s">
        <v>57</v>
      </c>
    </row>
    <row r="450" spans="1:13" ht="12.75">
      <c r="A450" s="16" t="s">
        <v>605</v>
      </c>
      <c r="B450" s="17">
        <v>46377</v>
      </c>
      <c r="C450" s="19" t="s">
        <v>2</v>
      </c>
      <c r="D450" s="19" t="s">
        <v>94</v>
      </c>
      <c r="E450" s="3">
        <v>2</v>
      </c>
      <c r="F450" s="5">
        <v>599</v>
      </c>
      <c r="G450" s="4">
        <v>0.12</v>
      </c>
      <c r="H450" s="5">
        <f t="shared" si="1"/>
        <v>1054.24</v>
      </c>
      <c r="I450" s="7" t="e">
        <f ca="1">ROUND(_xludf.IFS(L450="Cancelled", 0, L450="Returned", -0.1*H450, C450="Electronics", 0.14*H450, C450="Appliances", 0.16*H450, C450="Fashion", 0.26*H450, C450="Home &amp; Kitchen", 0.22*H450, C450="Beauty &amp; Personal Care", 0.3*H450, C450="Sports &amp; Fitness", 0.2*H450, TRUE, 0.15*H450), 2)</f>
        <v>#NAME?</v>
      </c>
      <c r="J450" s="19" t="s">
        <v>46</v>
      </c>
      <c r="K450" s="19" t="s">
        <v>47</v>
      </c>
      <c r="L450" s="16" t="s">
        <v>24</v>
      </c>
      <c r="M450" s="19" t="s">
        <v>48</v>
      </c>
    </row>
    <row r="451" spans="1:13" ht="12.75">
      <c r="A451" s="16" t="s">
        <v>606</v>
      </c>
      <c r="B451" s="17">
        <v>46378</v>
      </c>
      <c r="C451" s="19" t="s">
        <v>7</v>
      </c>
      <c r="D451" s="19" t="s">
        <v>140</v>
      </c>
      <c r="E451" s="3">
        <v>1</v>
      </c>
      <c r="F451" s="5">
        <v>6299</v>
      </c>
      <c r="G451" s="4">
        <v>0.18</v>
      </c>
      <c r="H451" s="5">
        <f t="shared" si="1"/>
        <v>5165.18</v>
      </c>
      <c r="I451" s="7" t="e">
        <f ca="1">ROUND(_xludf.IFS(L451="Cancelled", 0, L451="Returned", -0.1*H451, C451="Electronics", 0.14*H451, C451="Appliances", 0.16*H451, C451="Fashion", 0.26*H451, C451="Home &amp; Kitchen", 0.22*H451, C451="Beauty &amp; Personal Care", 0.3*H451, C451="Sports &amp; Fitness", 0.2*H451, TRUE, 0.15*H451), 2)</f>
        <v>#NAME?</v>
      </c>
      <c r="J451" s="19" t="s">
        <v>55</v>
      </c>
      <c r="K451" s="19" t="s">
        <v>47</v>
      </c>
      <c r="L451" s="16" t="s">
        <v>24</v>
      </c>
      <c r="M451" s="19" t="s">
        <v>73</v>
      </c>
    </row>
    <row r="452" spans="1:13" ht="12.75">
      <c r="A452" s="16" t="s">
        <v>607</v>
      </c>
      <c r="B452" s="17">
        <v>46378</v>
      </c>
      <c r="C452" s="19" t="s">
        <v>5</v>
      </c>
      <c r="D452" s="19" t="s">
        <v>108</v>
      </c>
      <c r="E452" s="3">
        <v>2</v>
      </c>
      <c r="F452" s="5">
        <v>480</v>
      </c>
      <c r="G452" s="4">
        <v>0.05</v>
      </c>
      <c r="H452" s="5">
        <f t="shared" si="1"/>
        <v>912</v>
      </c>
      <c r="I452" s="7" t="e">
        <f ca="1">ROUND(_xludf.IFS(L452="Cancelled", 0, L452="Returned", -0.1*H452, C452="Electronics", 0.14*H452, C452="Appliances", 0.16*H452, C452="Fashion", 0.26*H452, C452="Home &amp; Kitchen", 0.22*H452, C452="Beauty &amp; Personal Care", 0.3*H452, C452="Sports &amp; Fitness", 0.2*H452, TRUE, 0.15*H452), 2)</f>
        <v>#NAME?</v>
      </c>
      <c r="J452" s="19" t="s">
        <v>60</v>
      </c>
      <c r="K452" s="19" t="s">
        <v>56</v>
      </c>
      <c r="L452" s="16" t="s">
        <v>26</v>
      </c>
      <c r="M452" s="19" t="s">
        <v>61</v>
      </c>
    </row>
    <row r="453" spans="1:13" ht="12.75">
      <c r="A453" s="16" t="s">
        <v>608</v>
      </c>
      <c r="B453" s="17">
        <v>46379</v>
      </c>
      <c r="C453" s="19" t="s">
        <v>6</v>
      </c>
      <c r="D453" s="19" t="s">
        <v>87</v>
      </c>
      <c r="E453" s="3">
        <v>2</v>
      </c>
      <c r="F453" s="5">
        <v>2495</v>
      </c>
      <c r="G453" s="4">
        <v>0.12</v>
      </c>
      <c r="H453" s="5">
        <f t="shared" si="1"/>
        <v>4391.2</v>
      </c>
      <c r="I453" s="7" t="e">
        <f ca="1">ROUND(_xludf.IFS(L453="Cancelled", 0, L453="Returned", -0.1*H453, C453="Electronics", 0.14*H453, C453="Appliances", 0.16*H453, C453="Fashion", 0.26*H453, C453="Home &amp; Kitchen", 0.22*H453, C453="Beauty &amp; Personal Care", 0.3*H453, C453="Sports &amp; Fitness", 0.2*H453, TRUE, 0.15*H453), 2)</f>
        <v>#NAME?</v>
      </c>
      <c r="J453" s="19" t="s">
        <v>66</v>
      </c>
      <c r="K453" s="19" t="s">
        <v>47</v>
      </c>
      <c r="L453" s="16" t="s">
        <v>24</v>
      </c>
      <c r="M453" s="19" t="s">
        <v>52</v>
      </c>
    </row>
    <row r="454" spans="1:13" ht="12.75">
      <c r="A454" s="16" t="s">
        <v>609</v>
      </c>
      <c r="B454" s="17">
        <v>46379</v>
      </c>
      <c r="C454" s="19" t="s">
        <v>4</v>
      </c>
      <c r="D454" s="19" t="s">
        <v>101</v>
      </c>
      <c r="E454" s="3">
        <v>2</v>
      </c>
      <c r="F454" s="5">
        <v>1199</v>
      </c>
      <c r="G454" s="4">
        <v>0.25</v>
      </c>
      <c r="H454" s="5">
        <f t="shared" si="1"/>
        <v>1798.5</v>
      </c>
      <c r="I454" s="7" t="e">
        <f ca="1">ROUND(_xludf.IFS(L454="Cancelled", 0, L454="Returned", -0.1*H454, C454="Electronics", 0.14*H454, C454="Appliances", 0.16*H454, C454="Fashion", 0.26*H454, C454="Home &amp; Kitchen", 0.22*H454, C454="Beauty &amp; Personal Care", 0.3*H454, C454="Sports &amp; Fitness", 0.2*H454, TRUE, 0.15*H454), 2)</f>
        <v>#NAME?</v>
      </c>
      <c r="J454" s="19" t="s">
        <v>46</v>
      </c>
      <c r="K454" s="19" t="s">
        <v>47</v>
      </c>
      <c r="L454" s="16" t="s">
        <v>24</v>
      </c>
      <c r="M454" s="19" t="s">
        <v>76</v>
      </c>
    </row>
    <row r="455" spans="1:13" ht="12.75">
      <c r="A455" s="16" t="s">
        <v>610</v>
      </c>
      <c r="B455" s="17">
        <v>46380</v>
      </c>
      <c r="C455" s="19" t="s">
        <v>3</v>
      </c>
      <c r="D455" s="19" t="s">
        <v>132</v>
      </c>
      <c r="E455" s="3">
        <v>2</v>
      </c>
      <c r="F455" s="5">
        <v>449</v>
      </c>
      <c r="G455" s="4">
        <v>0.1</v>
      </c>
      <c r="H455" s="5">
        <f t="shared" si="1"/>
        <v>808.2</v>
      </c>
      <c r="I455" s="7" t="e">
        <f ca="1">ROUND(_xludf.IFS(L455="Cancelled", 0, L455="Returned", -0.1*H455, C455="Electronics", 0.14*H455, C455="Appliances", 0.16*H455, C455="Fashion", 0.26*H455, C455="Home &amp; Kitchen", 0.22*H455, C455="Beauty &amp; Personal Care", 0.3*H455, C455="Sports &amp; Fitness", 0.2*H455, TRUE, 0.15*H455), 2)</f>
        <v>#NAME?</v>
      </c>
      <c r="J455" s="19" t="s">
        <v>60</v>
      </c>
      <c r="K455" s="19" t="s">
        <v>47</v>
      </c>
      <c r="L455" s="16" t="s">
        <v>24</v>
      </c>
      <c r="M455" s="19" t="s">
        <v>64</v>
      </c>
    </row>
    <row r="456" spans="1:13" ht="12.75">
      <c r="A456" s="16" t="s">
        <v>611</v>
      </c>
      <c r="B456" s="17">
        <v>46380</v>
      </c>
      <c r="C456" s="19" t="s">
        <v>2</v>
      </c>
      <c r="D456" s="19" t="s">
        <v>105</v>
      </c>
      <c r="E456" s="3">
        <v>2</v>
      </c>
      <c r="F456" s="5">
        <v>499</v>
      </c>
      <c r="G456" s="4">
        <v>0.15</v>
      </c>
      <c r="H456" s="5">
        <f t="shared" si="1"/>
        <v>848.3</v>
      </c>
      <c r="I456" s="7" t="e">
        <f ca="1">ROUND(_xludf.IFS(L456="Cancelled", 0, L456="Returned", -0.1*H456, C456="Electronics", 0.14*H456, C456="Appliances", 0.16*H456, C456="Fashion", 0.26*H456, C456="Home &amp; Kitchen", 0.22*H456, C456="Beauty &amp; Personal Care", 0.3*H456, C456="Sports &amp; Fitness", 0.2*H456, TRUE, 0.15*H456), 2)</f>
        <v>#NAME?</v>
      </c>
      <c r="J456" s="19" t="s">
        <v>60</v>
      </c>
      <c r="K456" s="19" t="s">
        <v>56</v>
      </c>
      <c r="L456" s="16" t="s">
        <v>26</v>
      </c>
      <c r="M456" s="19" t="s">
        <v>80</v>
      </c>
    </row>
    <row r="457" spans="1:13" ht="12.75">
      <c r="A457" s="16" t="s">
        <v>612</v>
      </c>
      <c r="B457" s="17">
        <v>46380</v>
      </c>
      <c r="C457" s="19" t="s">
        <v>7</v>
      </c>
      <c r="D457" s="19" t="s">
        <v>15</v>
      </c>
      <c r="E457" s="3">
        <v>1</v>
      </c>
      <c r="F457" s="5">
        <v>27490</v>
      </c>
      <c r="G457" s="4">
        <v>0.15</v>
      </c>
      <c r="H457" s="5">
        <f t="shared" si="1"/>
        <v>23366.5</v>
      </c>
      <c r="I457" s="7" t="e">
        <f ca="1">ROUND(_xludf.IFS(L457="Cancelled", 0, L457="Returned", -0.1*H457, C457="Electronics", 0.14*H457, C457="Appliances", 0.16*H457, C457="Fashion", 0.26*H457, C457="Home &amp; Kitchen", 0.22*H457, C457="Beauty &amp; Personal Care", 0.3*H457, C457="Sports &amp; Fitness", 0.2*H457, TRUE, 0.15*H457), 2)</f>
        <v>#NAME?</v>
      </c>
      <c r="J457" s="19" t="s">
        <v>55</v>
      </c>
      <c r="K457" s="19" t="s">
        <v>47</v>
      </c>
      <c r="L457" s="16" t="s">
        <v>24</v>
      </c>
      <c r="M457" s="19" t="s">
        <v>48</v>
      </c>
    </row>
    <row r="458" spans="1:13" ht="12.75">
      <c r="A458" s="16" t="s">
        <v>613</v>
      </c>
      <c r="B458" s="17">
        <v>46381</v>
      </c>
      <c r="C458" s="19" t="s">
        <v>5</v>
      </c>
      <c r="D458" s="19" t="s">
        <v>124</v>
      </c>
      <c r="E458" s="3">
        <v>2</v>
      </c>
      <c r="F458" s="5">
        <v>699</v>
      </c>
      <c r="G458" s="4">
        <v>0.15</v>
      </c>
      <c r="H458" s="5">
        <f t="shared" si="1"/>
        <v>1188.3</v>
      </c>
      <c r="I458" s="7" t="e">
        <f ca="1">ROUND(_xludf.IFS(L458="Cancelled", 0, L458="Returned", -0.1*H458, C458="Electronics", 0.14*H458, C458="Appliances", 0.16*H458, C458="Fashion", 0.26*H458, C458="Home &amp; Kitchen", 0.22*H458, C458="Beauty &amp; Personal Care", 0.3*H458, C458="Sports &amp; Fitness", 0.2*H458, TRUE, 0.15*H458), 2)</f>
        <v>#NAME?</v>
      </c>
      <c r="J458" s="19" t="s">
        <v>51</v>
      </c>
      <c r="K458" s="19" t="s">
        <v>56</v>
      </c>
      <c r="L458" s="16" t="s">
        <v>24</v>
      </c>
      <c r="M458" s="19" t="s">
        <v>70</v>
      </c>
    </row>
    <row r="459" spans="1:13" ht="12.75">
      <c r="A459" s="16" t="s">
        <v>614</v>
      </c>
      <c r="B459" s="17">
        <v>46381</v>
      </c>
      <c r="C459" s="19" t="s">
        <v>6</v>
      </c>
      <c r="D459" s="19" t="s">
        <v>96</v>
      </c>
      <c r="E459" s="3">
        <v>2</v>
      </c>
      <c r="F459" s="5">
        <v>1399</v>
      </c>
      <c r="G459" s="4">
        <v>0.2</v>
      </c>
      <c r="H459" s="5">
        <f t="shared" si="1"/>
        <v>2238.4</v>
      </c>
      <c r="I459" s="7" t="e">
        <f ca="1">ROUND(_xludf.IFS(L459="Cancelled", 0, L459="Returned", -0.1*H459, C459="Electronics", 0.14*H459, C459="Appliances", 0.16*H459, C459="Fashion", 0.26*H459, C459="Home &amp; Kitchen", 0.22*H459, C459="Beauty &amp; Personal Care", 0.3*H459, C459="Sports &amp; Fitness", 0.2*H459, TRUE, 0.15*H459), 2)</f>
        <v>#NAME?</v>
      </c>
      <c r="J459" s="19" t="s">
        <v>51</v>
      </c>
      <c r="K459" s="19" t="s">
        <v>47</v>
      </c>
      <c r="L459" s="16" t="s">
        <v>24</v>
      </c>
      <c r="M459" s="19" t="s">
        <v>67</v>
      </c>
    </row>
    <row r="460" spans="1:13" ht="12.75">
      <c r="A460" s="16" t="s">
        <v>615</v>
      </c>
      <c r="B460" s="17">
        <v>46381</v>
      </c>
      <c r="C460" s="19" t="s">
        <v>4</v>
      </c>
      <c r="D460" s="19" t="s">
        <v>116</v>
      </c>
      <c r="E460" s="3">
        <v>1</v>
      </c>
      <c r="F460" s="5">
        <v>1899</v>
      </c>
      <c r="G460" s="4">
        <v>0.3</v>
      </c>
      <c r="H460" s="5">
        <f t="shared" si="1"/>
        <v>1329.3</v>
      </c>
      <c r="I460" s="7" t="e">
        <f ca="1">ROUND(_xludf.IFS(L460="Cancelled", 0, L460="Returned", -0.1*H460, C460="Electronics", 0.14*H460, C460="Appliances", 0.16*H460, C460="Fashion", 0.26*H460, C460="Home &amp; Kitchen", 0.22*H460, C460="Beauty &amp; Personal Care", 0.3*H460, C460="Sports &amp; Fitness", 0.2*H460, TRUE, 0.15*H460), 2)</f>
        <v>#NAME?</v>
      </c>
      <c r="J460" s="19" t="s">
        <v>46</v>
      </c>
      <c r="K460" s="19" t="s">
        <v>47</v>
      </c>
      <c r="L460" s="16" t="s">
        <v>24</v>
      </c>
      <c r="M460" s="19" t="s">
        <v>57</v>
      </c>
    </row>
    <row r="461" spans="1:13" ht="12.75">
      <c r="A461" s="16" t="s">
        <v>616</v>
      </c>
      <c r="B461" s="17">
        <v>46382</v>
      </c>
      <c r="C461" s="19" t="s">
        <v>3</v>
      </c>
      <c r="D461" s="19" t="s">
        <v>153</v>
      </c>
      <c r="E461" s="3">
        <v>1</v>
      </c>
      <c r="F461" s="5">
        <v>2699</v>
      </c>
      <c r="G461" s="4">
        <v>0.18</v>
      </c>
      <c r="H461" s="5">
        <f t="shared" si="1"/>
        <v>2213.1799999999998</v>
      </c>
      <c r="I461" s="7" t="e">
        <f ca="1">ROUND(_xludf.IFS(L461="Cancelled", 0, L461="Returned", -0.1*H461, C461="Electronics", 0.14*H461, C461="Appliances", 0.16*H461, C461="Fashion", 0.26*H461, C461="Home &amp; Kitchen", 0.22*H461, C461="Beauty &amp; Personal Care", 0.3*H461, C461="Sports &amp; Fitness", 0.2*H461, TRUE, 0.15*H461), 2)</f>
        <v>#NAME?</v>
      </c>
      <c r="J461" s="19" t="s">
        <v>46</v>
      </c>
      <c r="K461" s="19" t="s">
        <v>56</v>
      </c>
      <c r="L461" s="16" t="s">
        <v>26</v>
      </c>
      <c r="M461" s="19" t="s">
        <v>48</v>
      </c>
    </row>
    <row r="462" spans="1:13" ht="12.75">
      <c r="A462" s="16" t="s">
        <v>617</v>
      </c>
      <c r="B462" s="17">
        <v>46382</v>
      </c>
      <c r="C462" s="19" t="s">
        <v>2</v>
      </c>
      <c r="D462" s="19" t="s">
        <v>122</v>
      </c>
      <c r="E462" s="3">
        <v>3</v>
      </c>
      <c r="F462" s="5">
        <v>549</v>
      </c>
      <c r="G462" s="4">
        <v>0.05</v>
      </c>
      <c r="H462" s="5">
        <f t="shared" si="1"/>
        <v>1564.65</v>
      </c>
      <c r="I462" s="7" t="e">
        <f ca="1">ROUND(_xludf.IFS(L462="Cancelled", 0, L462="Returned", -0.1*H462, C462="Electronics", 0.14*H462, C462="Appliances", 0.16*H462, C462="Fashion", 0.26*H462, C462="Home &amp; Kitchen", 0.22*H462, C462="Beauty &amp; Personal Care", 0.3*H462, C462="Sports &amp; Fitness", 0.2*H462, TRUE, 0.15*H462), 2)</f>
        <v>#NAME?</v>
      </c>
      <c r="J462" s="19" t="s">
        <v>46</v>
      </c>
      <c r="K462" s="19" t="s">
        <v>47</v>
      </c>
      <c r="L462" s="16" t="s">
        <v>24</v>
      </c>
      <c r="M462" s="19" t="s">
        <v>64</v>
      </c>
    </row>
    <row r="463" spans="1:13" ht="12.75">
      <c r="A463" s="16" t="s">
        <v>618</v>
      </c>
      <c r="B463" s="17">
        <v>46382</v>
      </c>
      <c r="C463" s="19" t="s">
        <v>7</v>
      </c>
      <c r="D463" s="19" t="s">
        <v>14</v>
      </c>
      <c r="E463" s="3">
        <v>1</v>
      </c>
      <c r="F463" s="5">
        <v>23990</v>
      </c>
      <c r="G463" s="4">
        <v>0.15</v>
      </c>
      <c r="H463" s="5">
        <f t="shared" si="1"/>
        <v>20391.5</v>
      </c>
      <c r="I463" s="7" t="e">
        <f ca="1">ROUND(_xludf.IFS(L463="Cancelled", 0, L463="Returned", -0.1*H463, C463="Electronics", 0.14*H463, C463="Appliances", 0.16*H463, C463="Fashion", 0.26*H463, C463="Home &amp; Kitchen", 0.22*H463, C463="Beauty &amp; Personal Care", 0.3*H463, C463="Sports &amp; Fitness", 0.2*H463, TRUE, 0.15*H463), 2)</f>
        <v>#NAME?</v>
      </c>
      <c r="J463" s="19" t="s">
        <v>51</v>
      </c>
      <c r="K463" s="19" t="s">
        <v>47</v>
      </c>
      <c r="L463" s="16" t="s">
        <v>24</v>
      </c>
      <c r="M463" s="19" t="s">
        <v>52</v>
      </c>
    </row>
    <row r="464" spans="1:13" ht="12.75">
      <c r="A464" s="16" t="s">
        <v>619</v>
      </c>
      <c r="B464" s="17">
        <v>46383</v>
      </c>
      <c r="C464" s="19" t="s">
        <v>5</v>
      </c>
      <c r="D464" s="19" t="s">
        <v>138</v>
      </c>
      <c r="E464" s="3">
        <v>2</v>
      </c>
      <c r="F464" s="5">
        <v>599</v>
      </c>
      <c r="G464" s="4">
        <v>0.1</v>
      </c>
      <c r="H464" s="5">
        <f t="shared" si="1"/>
        <v>1078.2</v>
      </c>
      <c r="I464" s="7" t="e">
        <f ca="1">ROUND(_xludf.IFS(L464="Cancelled", 0, L464="Returned", -0.1*H464, C464="Electronics", 0.14*H464, C464="Appliances", 0.16*H464, C464="Fashion", 0.26*H464, C464="Home &amp; Kitchen", 0.22*H464, C464="Beauty &amp; Personal Care", 0.3*H464, C464="Sports &amp; Fitness", 0.2*H464, TRUE, 0.15*H464), 2)</f>
        <v>#NAME?</v>
      </c>
      <c r="J464" s="19" t="s">
        <v>60</v>
      </c>
      <c r="K464" s="19" t="s">
        <v>47</v>
      </c>
      <c r="L464" s="16" t="s">
        <v>24</v>
      </c>
      <c r="M464" s="19" t="s">
        <v>73</v>
      </c>
    </row>
    <row r="465" spans="1:13" ht="12.75">
      <c r="A465" s="16" t="s">
        <v>620</v>
      </c>
      <c r="B465" s="17">
        <v>46383</v>
      </c>
      <c r="C465" s="19" t="s">
        <v>6</v>
      </c>
      <c r="D465" s="19" t="s">
        <v>19</v>
      </c>
      <c r="E465" s="3">
        <v>1</v>
      </c>
      <c r="F465" s="5">
        <v>16999</v>
      </c>
      <c r="G465" s="4">
        <v>0.15</v>
      </c>
      <c r="H465" s="5">
        <f t="shared" si="1"/>
        <v>14449.15</v>
      </c>
      <c r="I465" s="7" t="e">
        <f ca="1">ROUND(_xludf.IFS(L465="Cancelled", 0, L465="Returned", -0.1*H465, C465="Electronics", 0.14*H465, C465="Appliances", 0.16*H465, C465="Fashion", 0.26*H465, C465="Home &amp; Kitchen", 0.22*H465, C465="Beauty &amp; Personal Care", 0.3*H465, C465="Sports &amp; Fitness", 0.2*H465, TRUE, 0.15*H465), 2)</f>
        <v>#NAME?</v>
      </c>
      <c r="J465" s="19" t="s">
        <v>66</v>
      </c>
      <c r="K465" s="19" t="s">
        <v>47</v>
      </c>
      <c r="L465" s="16" t="s">
        <v>24</v>
      </c>
      <c r="M465" s="19" t="s">
        <v>48</v>
      </c>
    </row>
    <row r="466" spans="1:13" ht="12.75">
      <c r="A466" s="16" t="s">
        <v>621</v>
      </c>
      <c r="B466" s="17">
        <v>46383</v>
      </c>
      <c r="C466" s="19" t="s">
        <v>4</v>
      </c>
      <c r="D466" s="19" t="s">
        <v>128</v>
      </c>
      <c r="E466" s="3">
        <v>1</v>
      </c>
      <c r="F466" s="5">
        <v>1699</v>
      </c>
      <c r="G466" s="4">
        <v>0.32</v>
      </c>
      <c r="H466" s="5">
        <f t="shared" si="1"/>
        <v>1155.32</v>
      </c>
      <c r="I466" s="7" t="e">
        <f ca="1">ROUND(_xludf.IFS(L466="Cancelled", 0, L466="Returned", -0.1*H466, C466="Electronics", 0.14*H466, C466="Appliances", 0.16*H466, C466="Fashion", 0.26*H466, C466="Home &amp; Kitchen", 0.22*H466, C466="Beauty &amp; Personal Care", 0.3*H466, C466="Sports &amp; Fitness", 0.2*H466, TRUE, 0.15*H466), 2)</f>
        <v>#NAME?</v>
      </c>
      <c r="J466" s="19" t="s">
        <v>46</v>
      </c>
      <c r="K466" s="19" t="s">
        <v>47</v>
      </c>
      <c r="L466" s="16" t="s">
        <v>24</v>
      </c>
      <c r="M466" s="19" t="s">
        <v>109</v>
      </c>
    </row>
    <row r="467" spans="1:13" ht="12.75">
      <c r="A467" s="16" t="s">
        <v>622</v>
      </c>
      <c r="B467" s="17">
        <v>46384</v>
      </c>
      <c r="C467" s="19" t="s">
        <v>3</v>
      </c>
      <c r="D467" s="19" t="s">
        <v>144</v>
      </c>
      <c r="E467" s="3">
        <v>3</v>
      </c>
      <c r="F467" s="5">
        <v>349</v>
      </c>
      <c r="G467" s="4">
        <v>0.1</v>
      </c>
      <c r="H467" s="5">
        <f t="shared" si="1"/>
        <v>942.3</v>
      </c>
      <c r="I467" s="7" t="e">
        <f ca="1">ROUND(_xludf.IFS(L467="Cancelled", 0, L467="Returned", -0.1*H467, C467="Electronics", 0.14*H467, C467="Appliances", 0.16*H467, C467="Fashion", 0.26*H467, C467="Home &amp; Kitchen", 0.22*H467, C467="Beauty &amp; Personal Care", 0.3*H467, C467="Sports &amp; Fitness", 0.2*H467, TRUE, 0.15*H467), 2)</f>
        <v>#NAME?</v>
      </c>
      <c r="J467" s="19" t="s">
        <v>55</v>
      </c>
      <c r="K467" s="19" t="s">
        <v>47</v>
      </c>
      <c r="L467" s="16" t="s">
        <v>24</v>
      </c>
      <c r="M467" s="19" t="s">
        <v>64</v>
      </c>
    </row>
    <row r="468" spans="1:13" ht="12.75">
      <c r="A468" s="16" t="s">
        <v>623</v>
      </c>
      <c r="B468" s="17">
        <v>46384</v>
      </c>
      <c r="C468" s="19" t="s">
        <v>2</v>
      </c>
      <c r="D468" s="19" t="s">
        <v>136</v>
      </c>
      <c r="E468" s="3">
        <v>1</v>
      </c>
      <c r="F468" s="5">
        <v>1475</v>
      </c>
      <c r="G468" s="4">
        <v>0.05</v>
      </c>
      <c r="H468" s="5">
        <f t="shared" si="1"/>
        <v>1401.25</v>
      </c>
      <c r="I468" s="7" t="e">
        <f ca="1">ROUND(_xludf.IFS(L468="Cancelled", 0, L468="Returned", -0.1*H468, C468="Electronics", 0.14*H468, C468="Appliances", 0.16*H468, C468="Fashion", 0.26*H468, C468="Home &amp; Kitchen", 0.22*H468, C468="Beauty &amp; Personal Care", 0.3*H468, C468="Sports &amp; Fitness", 0.2*H468, TRUE, 0.15*H468), 2)</f>
        <v>#NAME?</v>
      </c>
      <c r="J468" s="19" t="s">
        <v>51</v>
      </c>
      <c r="K468" s="19" t="s">
        <v>47</v>
      </c>
      <c r="L468" s="16" t="s">
        <v>24</v>
      </c>
      <c r="M468" s="19" t="s">
        <v>52</v>
      </c>
    </row>
    <row r="469" spans="1:13" ht="12.75">
      <c r="A469" s="16" t="s">
        <v>624</v>
      </c>
      <c r="B469" s="17">
        <v>46384</v>
      </c>
      <c r="C469" s="19" t="s">
        <v>7</v>
      </c>
      <c r="D469" s="19" t="s">
        <v>18</v>
      </c>
      <c r="E469" s="3">
        <v>1</v>
      </c>
      <c r="F469" s="5">
        <v>24490</v>
      </c>
      <c r="G469" s="4">
        <v>0.12</v>
      </c>
      <c r="H469" s="5">
        <f t="shared" si="1"/>
        <v>21551.200000000001</v>
      </c>
      <c r="I469" s="7" t="e">
        <f ca="1">ROUND(_xludf.IFS(L469="Cancelled", 0, L469="Returned", -0.1*H469, C469="Electronics", 0.14*H469, C469="Appliances", 0.16*H469, C469="Fashion", 0.26*H469, C469="Home &amp; Kitchen", 0.22*H469, C469="Beauty &amp; Personal Care", 0.3*H469, C469="Sports &amp; Fitness", 0.2*H469, TRUE, 0.15*H469), 2)</f>
        <v>#NAME?</v>
      </c>
      <c r="J469" s="19" t="s">
        <v>51</v>
      </c>
      <c r="K469" s="19" t="s">
        <v>47</v>
      </c>
      <c r="L469" s="16" t="s">
        <v>24</v>
      </c>
      <c r="M469" s="19" t="s">
        <v>57</v>
      </c>
    </row>
    <row r="470" spans="1:13" ht="12.75">
      <c r="A470" s="16" t="s">
        <v>625</v>
      </c>
      <c r="B470" s="17">
        <v>46384</v>
      </c>
      <c r="C470" s="19" t="s">
        <v>5</v>
      </c>
      <c r="D470" s="19" t="s">
        <v>11</v>
      </c>
      <c r="E470" s="3">
        <v>1</v>
      </c>
      <c r="F470" s="5">
        <v>28990</v>
      </c>
      <c r="G470" s="4">
        <v>0.22</v>
      </c>
      <c r="H470" s="5">
        <f t="shared" si="1"/>
        <v>22612.2</v>
      </c>
      <c r="I470" s="7" t="e">
        <f ca="1">ROUND(_xludf.IFS(L470="Cancelled", 0, L470="Returned", -0.1*H470, C470="Electronics", 0.14*H470, C470="Appliances", 0.16*H470, C470="Fashion", 0.26*H470, C470="Home &amp; Kitchen", 0.22*H470, C470="Beauty &amp; Personal Care", 0.3*H470, C470="Sports &amp; Fitness", 0.2*H470, TRUE, 0.15*H470), 2)</f>
        <v>#NAME?</v>
      </c>
      <c r="J470" s="19" t="s">
        <v>79</v>
      </c>
      <c r="K470" s="19" t="s">
        <v>56</v>
      </c>
      <c r="L470" s="16" t="s">
        <v>24</v>
      </c>
      <c r="M470" s="19" t="s">
        <v>48</v>
      </c>
    </row>
    <row r="471" spans="1:13" ht="12.75">
      <c r="A471" s="16" t="s">
        <v>626</v>
      </c>
      <c r="B471" s="17">
        <v>46385</v>
      </c>
      <c r="C471" s="19" t="s">
        <v>6</v>
      </c>
      <c r="D471" s="19" t="s">
        <v>111</v>
      </c>
      <c r="E471" s="3">
        <v>1</v>
      </c>
      <c r="F471" s="5">
        <v>2999</v>
      </c>
      <c r="G471" s="4">
        <v>0.18</v>
      </c>
      <c r="H471" s="5">
        <f t="shared" si="1"/>
        <v>2459.1799999999998</v>
      </c>
      <c r="I471" s="7" t="e">
        <f ca="1">ROUND(_xludf.IFS(L471="Cancelled", 0, L471="Returned", -0.1*H471, C471="Electronics", 0.14*H471, C471="Appliances", 0.16*H471, C471="Fashion", 0.26*H471, C471="Home &amp; Kitchen", 0.22*H471, C471="Beauty &amp; Personal Care", 0.3*H471, C471="Sports &amp; Fitness", 0.2*H471, TRUE, 0.15*H471), 2)</f>
        <v>#NAME?</v>
      </c>
      <c r="J471" s="19" t="s">
        <v>51</v>
      </c>
      <c r="K471" s="19" t="s">
        <v>47</v>
      </c>
      <c r="L471" s="16" t="s">
        <v>24</v>
      </c>
      <c r="M471" s="19" t="s">
        <v>67</v>
      </c>
    </row>
    <row r="472" spans="1:13" ht="12.75">
      <c r="A472" s="16" t="s">
        <v>627</v>
      </c>
      <c r="B472" s="17">
        <v>46385</v>
      </c>
      <c r="C472" s="19" t="s">
        <v>4</v>
      </c>
      <c r="D472" s="19" t="s">
        <v>32</v>
      </c>
      <c r="E472" s="3">
        <v>2</v>
      </c>
      <c r="F472" s="5">
        <v>1499</v>
      </c>
      <c r="G472" s="4">
        <v>0.25</v>
      </c>
      <c r="H472" s="5">
        <f t="shared" si="1"/>
        <v>2248.5</v>
      </c>
      <c r="I472" s="7" t="e">
        <f ca="1">ROUND(_xludf.IFS(L472="Cancelled", 0, L472="Returned", -0.1*H472, C472="Electronics", 0.14*H472, C472="Appliances", 0.16*H472, C472="Fashion", 0.26*H472, C472="Home &amp; Kitchen", 0.22*H472, C472="Beauty &amp; Personal Care", 0.3*H472, C472="Sports &amp; Fitness", 0.2*H472, TRUE, 0.15*H472), 2)</f>
        <v>#NAME?</v>
      </c>
      <c r="J472" s="19" t="s">
        <v>51</v>
      </c>
      <c r="K472" s="19" t="s">
        <v>56</v>
      </c>
      <c r="L472" s="16" t="s">
        <v>23</v>
      </c>
      <c r="M472" s="19" t="s">
        <v>64</v>
      </c>
    </row>
    <row r="473" spans="1:13" ht="12.75">
      <c r="A473" s="16" t="s">
        <v>628</v>
      </c>
      <c r="B473" s="17">
        <v>46385</v>
      </c>
      <c r="C473" s="19" t="s">
        <v>3</v>
      </c>
      <c r="D473" s="19" t="s">
        <v>161</v>
      </c>
      <c r="E473" s="3">
        <v>1</v>
      </c>
      <c r="F473" s="5">
        <v>2150</v>
      </c>
      <c r="G473" s="4">
        <v>0.12</v>
      </c>
      <c r="H473" s="5">
        <f t="shared" si="1"/>
        <v>1892</v>
      </c>
      <c r="I473" s="7" t="e">
        <f ca="1">ROUND(_xludf.IFS(L473="Cancelled", 0, L473="Returned", -0.1*H473, C473="Electronics", 0.14*H473, C473="Appliances", 0.16*H473, C473="Fashion", 0.26*H473, C473="Home &amp; Kitchen", 0.22*H473, C473="Beauty &amp; Personal Care", 0.3*H473, C473="Sports &amp; Fitness", 0.2*H473, TRUE, 0.15*H473), 2)</f>
        <v>#NAME?</v>
      </c>
      <c r="J473" s="19" t="s">
        <v>46</v>
      </c>
      <c r="K473" s="19" t="s">
        <v>47</v>
      </c>
      <c r="L473" s="16" t="s">
        <v>24</v>
      </c>
      <c r="M473" s="19" t="s">
        <v>70</v>
      </c>
    </row>
    <row r="474" spans="1:13" ht="12.75">
      <c r="A474" s="16" t="s">
        <v>629</v>
      </c>
      <c r="B474" s="17">
        <v>46385</v>
      </c>
      <c r="C474" s="19" t="s">
        <v>2</v>
      </c>
      <c r="D474" s="19" t="s">
        <v>146</v>
      </c>
      <c r="E474" s="3">
        <v>2</v>
      </c>
      <c r="F474" s="5">
        <v>345</v>
      </c>
      <c r="G474" s="4">
        <v>0.15</v>
      </c>
      <c r="H474" s="5">
        <f t="shared" si="1"/>
        <v>586.5</v>
      </c>
      <c r="I474" s="7" t="e">
        <f ca="1">ROUND(_xludf.IFS(L474="Cancelled", 0, L474="Returned", -0.1*H474, C474="Electronics", 0.14*H474, C474="Appliances", 0.16*H474, C474="Fashion", 0.26*H474, C474="Home &amp; Kitchen", 0.22*H474, C474="Beauty &amp; Personal Care", 0.3*H474, C474="Sports &amp; Fitness", 0.2*H474, TRUE, 0.15*H474), 2)</f>
        <v>#NAME?</v>
      </c>
      <c r="J474" s="19" t="s">
        <v>66</v>
      </c>
      <c r="K474" s="19" t="s">
        <v>47</v>
      </c>
      <c r="L474" s="16" t="s">
        <v>24</v>
      </c>
      <c r="M474" s="19" t="s">
        <v>52</v>
      </c>
    </row>
    <row r="475" spans="1:13" ht="12.75">
      <c r="A475" s="16" t="s">
        <v>630</v>
      </c>
      <c r="B475" s="17">
        <v>46386</v>
      </c>
      <c r="C475" s="19" t="s">
        <v>7</v>
      </c>
      <c r="D475" s="19" t="s">
        <v>187</v>
      </c>
      <c r="E475" s="3">
        <v>1</v>
      </c>
      <c r="F475" s="5">
        <v>14990</v>
      </c>
      <c r="G475" s="4">
        <v>0.14000000000000001</v>
      </c>
      <c r="H475" s="5">
        <f t="shared" si="1"/>
        <v>12891.4</v>
      </c>
      <c r="I475" s="7" t="e">
        <f ca="1">ROUND(_xludf.IFS(L475="Cancelled", 0, L475="Returned", -0.1*H475, C475="Electronics", 0.14*H475, C475="Appliances", 0.16*H475, C475="Fashion", 0.26*H475, C475="Home &amp; Kitchen", 0.22*H475, C475="Beauty &amp; Personal Care", 0.3*H475, C475="Sports &amp; Fitness", 0.2*H475, TRUE, 0.15*H475), 2)</f>
        <v>#NAME?</v>
      </c>
      <c r="J475" s="19" t="s">
        <v>55</v>
      </c>
      <c r="K475" s="19" t="s">
        <v>47</v>
      </c>
      <c r="L475" s="16" t="s">
        <v>24</v>
      </c>
      <c r="M475" s="19" t="s">
        <v>48</v>
      </c>
    </row>
    <row r="476" spans="1:13" ht="12.75">
      <c r="A476" s="16" t="s">
        <v>631</v>
      </c>
      <c r="B476" s="17">
        <v>46386</v>
      </c>
      <c r="C476" s="19" t="s">
        <v>5</v>
      </c>
      <c r="D476" s="19" t="s">
        <v>69</v>
      </c>
      <c r="E476" s="3">
        <v>2</v>
      </c>
      <c r="F476" s="5">
        <v>499</v>
      </c>
      <c r="G476" s="4">
        <v>0.1</v>
      </c>
      <c r="H476" s="5">
        <f t="shared" si="1"/>
        <v>898.2</v>
      </c>
      <c r="I476" s="7" t="e">
        <f ca="1">ROUND(_xludf.IFS(L476="Cancelled", 0, L476="Returned", -0.1*H476, C476="Electronics", 0.14*H476, C476="Appliances", 0.16*H476, C476="Fashion", 0.26*H476, C476="Home &amp; Kitchen", 0.22*H476, C476="Beauty &amp; Personal Care", 0.3*H476, C476="Sports &amp; Fitness", 0.2*H476, TRUE, 0.15*H476), 2)</f>
        <v>#NAME?</v>
      </c>
      <c r="J476" s="19" t="s">
        <v>60</v>
      </c>
      <c r="K476" s="19" t="s">
        <v>56</v>
      </c>
      <c r="L476" s="16" t="s">
        <v>24</v>
      </c>
      <c r="M476" s="19" t="s">
        <v>90</v>
      </c>
    </row>
    <row r="477" spans="1:13" ht="12.75">
      <c r="A477" s="16" t="s">
        <v>632</v>
      </c>
      <c r="B477" s="17">
        <v>46386</v>
      </c>
      <c r="C477" s="19" t="s">
        <v>6</v>
      </c>
      <c r="D477" s="19" t="s">
        <v>118</v>
      </c>
      <c r="E477" s="3">
        <v>1</v>
      </c>
      <c r="F477" s="5">
        <v>10999</v>
      </c>
      <c r="G477" s="4">
        <v>0.08</v>
      </c>
      <c r="H477" s="5">
        <f t="shared" si="1"/>
        <v>10119.08</v>
      </c>
      <c r="I477" s="7" t="e">
        <f ca="1">ROUND(_xludf.IFS(L477="Cancelled", 0, L477="Returned", -0.1*H477, C477="Electronics", 0.14*H477, C477="Appliances", 0.16*H477, C477="Fashion", 0.26*H477, C477="Home &amp; Kitchen", 0.22*H477, C477="Beauty &amp; Personal Care", 0.3*H477, C477="Sports &amp; Fitness", 0.2*H477, TRUE, 0.15*H477), 2)</f>
        <v>#NAME?</v>
      </c>
      <c r="J477" s="19" t="s">
        <v>51</v>
      </c>
      <c r="K477" s="19" t="s">
        <v>47</v>
      </c>
      <c r="L477" s="16" t="s">
        <v>24</v>
      </c>
      <c r="M477" s="19" t="s">
        <v>64</v>
      </c>
    </row>
    <row r="478" spans="1:13" ht="12.75">
      <c r="A478" s="16" t="s">
        <v>633</v>
      </c>
      <c r="B478" s="17">
        <v>46386</v>
      </c>
      <c r="C478" s="19" t="s">
        <v>4</v>
      </c>
      <c r="D478" s="19" t="s">
        <v>150</v>
      </c>
      <c r="E478" s="3">
        <v>2</v>
      </c>
      <c r="F478" s="5">
        <v>1599</v>
      </c>
      <c r="G478" s="4">
        <v>0.3</v>
      </c>
      <c r="H478" s="5">
        <f t="shared" si="1"/>
        <v>2238.6</v>
      </c>
      <c r="I478" s="7" t="e">
        <f ca="1">ROUND(_xludf.IFS(L478="Cancelled", 0, L478="Returned", -0.1*H478, C478="Electronics", 0.14*H478, C478="Appliances", 0.16*H478, C478="Fashion", 0.26*H478, C478="Home &amp; Kitchen", 0.22*H478, C478="Beauty &amp; Personal Care", 0.3*H478, C478="Sports &amp; Fitness", 0.2*H478, TRUE, 0.15*H478), 2)</f>
        <v>#NAME?</v>
      </c>
      <c r="J478" s="19" t="s">
        <v>46</v>
      </c>
      <c r="K478" s="19" t="s">
        <v>47</v>
      </c>
      <c r="L478" s="16" t="s">
        <v>24</v>
      </c>
      <c r="M478" s="19" t="s">
        <v>73</v>
      </c>
    </row>
    <row r="479" spans="1:13" ht="12.75">
      <c r="A479" s="16" t="s">
        <v>634</v>
      </c>
      <c r="B479" s="17">
        <v>46386</v>
      </c>
      <c r="C479" s="19" t="s">
        <v>3</v>
      </c>
      <c r="D479" s="19" t="s">
        <v>172</v>
      </c>
      <c r="E479" s="3">
        <v>1</v>
      </c>
      <c r="F479" s="5">
        <v>2199</v>
      </c>
      <c r="G479" s="4">
        <v>0.18</v>
      </c>
      <c r="H479" s="5">
        <f t="shared" si="1"/>
        <v>1803.18</v>
      </c>
      <c r="I479" s="7" t="e">
        <f ca="1">ROUND(_xludf.IFS(L479="Cancelled", 0, L479="Returned", -0.1*H479, C479="Electronics", 0.14*H479, C479="Appliances", 0.16*H479, C479="Fashion", 0.26*H479, C479="Home &amp; Kitchen", 0.22*H479, C479="Beauty &amp; Personal Care", 0.3*H479, C479="Sports &amp; Fitness", 0.2*H479, TRUE, 0.15*H479), 2)</f>
        <v>#NAME?</v>
      </c>
      <c r="J479" s="19" t="s">
        <v>55</v>
      </c>
      <c r="K479" s="19" t="s">
        <v>56</v>
      </c>
      <c r="L479" s="16" t="s">
        <v>24</v>
      </c>
      <c r="M479" s="19" t="s">
        <v>61</v>
      </c>
    </row>
    <row r="480" spans="1:13" ht="12.75">
      <c r="A480" s="16" t="s">
        <v>635</v>
      </c>
      <c r="B480" s="17">
        <v>46387</v>
      </c>
      <c r="C480" s="19" t="s">
        <v>2</v>
      </c>
      <c r="D480" s="19" t="s">
        <v>155</v>
      </c>
      <c r="E480" s="3">
        <v>2</v>
      </c>
      <c r="F480" s="5">
        <v>420</v>
      </c>
      <c r="G480" s="4">
        <v>0.1</v>
      </c>
      <c r="H480" s="5">
        <f t="shared" si="1"/>
        <v>756</v>
      </c>
      <c r="I480" s="7" t="e">
        <f ca="1">ROUND(_xludf.IFS(L480="Cancelled", 0, L480="Returned", -0.1*H480, C480="Electronics", 0.14*H480, C480="Appliances", 0.16*H480, C480="Fashion", 0.26*H480, C480="Home &amp; Kitchen", 0.22*H480, C480="Beauty &amp; Personal Care", 0.3*H480, C480="Sports &amp; Fitness", 0.2*H480, TRUE, 0.15*H480), 2)</f>
        <v>#NAME?</v>
      </c>
      <c r="J480" s="19" t="s">
        <v>60</v>
      </c>
      <c r="K480" s="19" t="s">
        <v>47</v>
      </c>
      <c r="L480" s="16" t="s">
        <v>27</v>
      </c>
      <c r="M480" s="19" t="s">
        <v>48</v>
      </c>
    </row>
    <row r="481" spans="1:13" ht="12.75">
      <c r="A481" s="16" t="s">
        <v>636</v>
      </c>
      <c r="B481" s="17">
        <v>46387</v>
      </c>
      <c r="C481" s="19" t="s">
        <v>7</v>
      </c>
      <c r="D481" s="19" t="s">
        <v>198</v>
      </c>
      <c r="E481" s="3">
        <v>1</v>
      </c>
      <c r="F481" s="5">
        <v>3299</v>
      </c>
      <c r="G481" s="4">
        <v>0.15</v>
      </c>
      <c r="H481" s="5">
        <f t="shared" si="1"/>
        <v>2804.15</v>
      </c>
      <c r="I481" s="7" t="e">
        <f ca="1">ROUND(_xludf.IFS(L481="Cancelled", 0, L481="Returned", -0.1*H481, C481="Electronics", 0.14*H481, C481="Appliances", 0.16*H481, C481="Fashion", 0.26*H481, C481="Home &amp; Kitchen", 0.22*H481, C481="Beauty &amp; Personal Care", 0.3*H481, C481="Sports &amp; Fitness", 0.2*H481, TRUE, 0.15*H481), 2)</f>
        <v>#NAME?</v>
      </c>
      <c r="J481" s="19" t="s">
        <v>51</v>
      </c>
      <c r="K481" s="19" t="s">
        <v>47</v>
      </c>
      <c r="L481" s="16" t="s">
        <v>27</v>
      </c>
      <c r="M481" s="19" t="s">
        <v>52</v>
      </c>
    </row>
    <row r="482" spans="1:13" ht="12.75">
      <c r="A482" s="16" t="s">
        <v>637</v>
      </c>
      <c r="B482" s="17">
        <v>46387</v>
      </c>
      <c r="C482" s="19" t="s">
        <v>5</v>
      </c>
      <c r="D482" s="19" t="s">
        <v>89</v>
      </c>
      <c r="E482" s="3">
        <v>1</v>
      </c>
      <c r="F482" s="5">
        <v>1249</v>
      </c>
      <c r="G482" s="4">
        <v>0.15</v>
      </c>
      <c r="H482" s="5">
        <f t="shared" si="1"/>
        <v>1061.6500000000001</v>
      </c>
      <c r="I482" s="7" t="e">
        <f ca="1">ROUND(_xludf.IFS(L482="Cancelled", 0, L482="Returned", -0.1*H482, C482="Electronics", 0.14*H482, C482="Appliances", 0.16*H482, C482="Fashion", 0.26*H482, C482="Home &amp; Kitchen", 0.22*H482, C482="Beauty &amp; Personal Care", 0.3*H482, C482="Sports &amp; Fitness", 0.2*H482, TRUE, 0.15*H482), 2)</f>
        <v>#NAME?</v>
      </c>
      <c r="J482" s="19" t="s">
        <v>46</v>
      </c>
      <c r="K482" s="19" t="s">
        <v>56</v>
      </c>
      <c r="L482" s="16" t="s">
        <v>27</v>
      </c>
      <c r="M482" s="19" t="s">
        <v>57</v>
      </c>
    </row>
    <row r="483" spans="1:13" ht="12.75">
      <c r="A483" s="16" t="s">
        <v>638</v>
      </c>
      <c r="B483" s="17">
        <v>46387</v>
      </c>
      <c r="C483" s="19" t="s">
        <v>6</v>
      </c>
      <c r="D483" s="19" t="s">
        <v>126</v>
      </c>
      <c r="E483" s="3">
        <v>3</v>
      </c>
      <c r="F483" s="5">
        <v>849</v>
      </c>
      <c r="G483" s="4">
        <v>0.2</v>
      </c>
      <c r="H483" s="5">
        <f t="shared" si="1"/>
        <v>2037.6</v>
      </c>
      <c r="I483" s="7" t="e">
        <f ca="1">ROUND(_xludf.IFS(L483="Cancelled", 0, L483="Returned", -0.1*H483, C483="Electronics", 0.14*H483, C483="Appliances", 0.16*H483, C483="Fashion", 0.26*H483, C483="Home &amp; Kitchen", 0.22*H483, C483="Beauty &amp; Personal Care", 0.3*H483, C483="Sports &amp; Fitness", 0.2*H483, TRUE, 0.15*H483), 2)</f>
        <v>#NAME?</v>
      </c>
      <c r="J483" s="19" t="s">
        <v>79</v>
      </c>
      <c r="K483" s="19" t="s">
        <v>47</v>
      </c>
      <c r="L483" s="16" t="s">
        <v>27</v>
      </c>
      <c r="M483" s="19" t="s">
        <v>64</v>
      </c>
    </row>
    <row r="484" spans="1:13" ht="12.75">
      <c r="A484" s="16" t="s">
        <v>639</v>
      </c>
      <c r="B484" s="17">
        <v>46387</v>
      </c>
      <c r="C484" s="19" t="s">
        <v>4</v>
      </c>
      <c r="D484" s="19" t="s">
        <v>159</v>
      </c>
      <c r="E484" s="3">
        <v>2</v>
      </c>
      <c r="F484" s="5">
        <v>1299</v>
      </c>
      <c r="G484" s="4">
        <v>0.2</v>
      </c>
      <c r="H484" s="5">
        <f t="shared" si="1"/>
        <v>2078.4</v>
      </c>
      <c r="I484" s="7" t="e">
        <f ca="1">ROUND(_xludf.IFS(L484="Cancelled", 0, L484="Returned", -0.1*H484, C484="Electronics", 0.14*H484, C484="Appliances", 0.16*H484, C484="Fashion", 0.26*H484, C484="Home &amp; Kitchen", 0.22*H484, C484="Beauty &amp; Personal Care", 0.3*H484, C484="Sports &amp; Fitness", 0.2*H484, TRUE, 0.15*H484), 2)</f>
        <v>#NAME?</v>
      </c>
      <c r="J484" s="19" t="s">
        <v>46</v>
      </c>
      <c r="K484" s="19" t="s">
        <v>47</v>
      </c>
      <c r="L484" s="16" t="s">
        <v>27</v>
      </c>
      <c r="M484" s="19" t="s">
        <v>67</v>
      </c>
    </row>
    <row r="485" spans="1:13" ht="12.75">
      <c r="A485" s="16" t="s">
        <v>640</v>
      </c>
      <c r="B485" s="17">
        <v>46387</v>
      </c>
      <c r="C485" s="19" t="s">
        <v>3</v>
      </c>
      <c r="D485" s="19" t="s">
        <v>183</v>
      </c>
      <c r="E485" s="3">
        <v>3</v>
      </c>
      <c r="F485" s="5">
        <v>299</v>
      </c>
      <c r="G485" s="4">
        <v>0.15</v>
      </c>
      <c r="H485" s="5">
        <f t="shared" si="1"/>
        <v>762.45</v>
      </c>
      <c r="I485" s="7" t="e">
        <f ca="1">ROUND(_xludf.IFS(L485="Cancelled", 0, L485="Returned", -0.1*H485, C485="Electronics", 0.14*H485, C485="Appliances", 0.16*H485, C485="Fashion", 0.26*H485, C485="Home &amp; Kitchen", 0.22*H485, C485="Beauty &amp; Personal Care", 0.3*H485, C485="Sports &amp; Fitness", 0.2*H485, TRUE, 0.15*H485), 2)</f>
        <v>#NAME?</v>
      </c>
      <c r="J485" s="19" t="s">
        <v>60</v>
      </c>
      <c r="K485" s="19" t="s">
        <v>47</v>
      </c>
      <c r="L485" s="16" t="s">
        <v>27</v>
      </c>
      <c r="M485" s="19" t="s">
        <v>70</v>
      </c>
    </row>
    <row r="486" spans="1:13" ht="12.75">
      <c r="A486" s="16" t="s">
        <v>641</v>
      </c>
      <c r="B486" s="17">
        <v>46387</v>
      </c>
      <c r="C486" s="19" t="s">
        <v>2</v>
      </c>
      <c r="D486" s="19" t="s">
        <v>163</v>
      </c>
      <c r="E486" s="3">
        <v>3</v>
      </c>
      <c r="F486" s="5">
        <v>445</v>
      </c>
      <c r="G486" s="4">
        <v>0.08</v>
      </c>
      <c r="H486" s="5">
        <f t="shared" si="1"/>
        <v>1228.2</v>
      </c>
      <c r="I486" s="7" t="e">
        <f ca="1">ROUND(_xludf.IFS(L486="Cancelled", 0, L486="Returned", -0.1*H486, C486="Electronics", 0.14*H486, C486="Appliances", 0.16*H486, C486="Fashion", 0.26*H486, C486="Home &amp; Kitchen", 0.22*H486, C486="Beauty &amp; Personal Care", 0.3*H486, C486="Sports &amp; Fitness", 0.2*H486, TRUE, 0.15*H486), 2)</f>
        <v>#NAME?</v>
      </c>
      <c r="J486" s="19" t="s">
        <v>46</v>
      </c>
      <c r="K486" s="19" t="s">
        <v>47</v>
      </c>
      <c r="L486" s="16" t="s">
        <v>27</v>
      </c>
      <c r="M486" s="19" t="s">
        <v>76</v>
      </c>
    </row>
    <row r="487" spans="1:13" ht="12.75">
      <c r="A487" s="16" t="s">
        <v>642</v>
      </c>
      <c r="B487" s="17">
        <v>46387</v>
      </c>
      <c r="C487" s="19" t="s">
        <v>7</v>
      </c>
      <c r="D487" s="19" t="s">
        <v>209</v>
      </c>
      <c r="E487" s="3">
        <v>1</v>
      </c>
      <c r="F487" s="5">
        <v>5699</v>
      </c>
      <c r="G487" s="4">
        <v>0.18</v>
      </c>
      <c r="H487" s="5">
        <f t="shared" si="1"/>
        <v>4673.18</v>
      </c>
      <c r="I487" s="7" t="e">
        <f ca="1">ROUND(_xludf.IFS(L487="Cancelled", 0, L487="Returned", -0.1*H487, C487="Electronics", 0.14*H487, C487="Appliances", 0.16*H487, C487="Fashion", 0.26*H487, C487="Home &amp; Kitchen", 0.22*H487, C487="Beauty &amp; Personal Care", 0.3*H487, C487="Sports &amp; Fitness", 0.2*H487, TRUE, 0.15*H487), 2)</f>
        <v>#NAME?</v>
      </c>
      <c r="J487" s="19" t="s">
        <v>55</v>
      </c>
      <c r="K487" s="19" t="s">
        <v>47</v>
      </c>
      <c r="L487" s="16" t="s">
        <v>27</v>
      </c>
      <c r="M487" s="19" t="s">
        <v>48</v>
      </c>
    </row>
    <row r="488" spans="1:13" ht="12.75">
      <c r="A488" s="16" t="s">
        <v>643</v>
      </c>
      <c r="B488" s="17">
        <v>46387</v>
      </c>
      <c r="C488" s="19" t="s">
        <v>5</v>
      </c>
      <c r="D488" s="19" t="s">
        <v>108</v>
      </c>
      <c r="E488" s="3">
        <v>2</v>
      </c>
      <c r="F488" s="5">
        <v>480</v>
      </c>
      <c r="G488" s="4">
        <v>0.05</v>
      </c>
      <c r="H488" s="5">
        <f t="shared" si="1"/>
        <v>912</v>
      </c>
      <c r="I488" s="7" t="e">
        <f ca="1">ROUND(_xludf.IFS(L488="Cancelled", 0, L488="Returned", -0.1*H488, C488="Electronics", 0.14*H488, C488="Appliances", 0.16*H488, C488="Fashion", 0.26*H488, C488="Home &amp; Kitchen", 0.22*H488, C488="Beauty &amp; Personal Care", 0.3*H488, C488="Sports &amp; Fitness", 0.2*H488, TRUE, 0.15*H488), 2)</f>
        <v>#NAME?</v>
      </c>
      <c r="J488" s="19" t="s">
        <v>46</v>
      </c>
      <c r="K488" s="19" t="s">
        <v>56</v>
      </c>
      <c r="L488" s="16" t="s">
        <v>25</v>
      </c>
      <c r="M488" s="19" t="s">
        <v>64</v>
      </c>
    </row>
    <row r="489" spans="1:13" ht="12.75">
      <c r="A489" s="16" t="s">
        <v>644</v>
      </c>
      <c r="B489" s="17">
        <v>46387</v>
      </c>
      <c r="C489" s="19" t="s">
        <v>6</v>
      </c>
      <c r="D489" s="19" t="s">
        <v>134</v>
      </c>
      <c r="E489" s="3">
        <v>1</v>
      </c>
      <c r="F489" s="5">
        <v>2299</v>
      </c>
      <c r="G489" s="4">
        <v>0.12</v>
      </c>
      <c r="H489" s="5">
        <f t="shared" si="1"/>
        <v>2023.12</v>
      </c>
      <c r="I489" s="7" t="e">
        <f ca="1">ROUND(_xludf.IFS(L489="Cancelled", 0, L489="Returned", -0.1*H489, C489="Electronics", 0.14*H489, C489="Appliances", 0.16*H489, C489="Fashion", 0.26*H489, C489="Home &amp; Kitchen", 0.22*H489, C489="Beauty &amp; Personal Care", 0.3*H489, C489="Sports &amp; Fitness", 0.2*H489, TRUE, 0.15*H489), 2)</f>
        <v>#NAME?</v>
      </c>
      <c r="J489" s="19" t="s">
        <v>46</v>
      </c>
      <c r="K489" s="19" t="s">
        <v>56</v>
      </c>
      <c r="L489" s="16" t="s">
        <v>25</v>
      </c>
      <c r="M489" s="19" t="s">
        <v>52</v>
      </c>
    </row>
    <row r="490" spans="1:13" ht="12.75">
      <c r="A490" s="16" t="s">
        <v>645</v>
      </c>
      <c r="B490" s="17">
        <v>46387</v>
      </c>
      <c r="C490" s="19" t="s">
        <v>4</v>
      </c>
      <c r="D490" s="19" t="s">
        <v>170</v>
      </c>
      <c r="E490" s="3">
        <v>1</v>
      </c>
      <c r="F490" s="5">
        <v>899</v>
      </c>
      <c r="G490" s="4">
        <v>0.25</v>
      </c>
      <c r="H490" s="5">
        <f t="shared" si="1"/>
        <v>674.25</v>
      </c>
      <c r="I490" s="7" t="e">
        <f ca="1">ROUND(_xludf.IFS(L490="Cancelled", 0, L490="Returned", -0.1*H490, C490="Electronics", 0.14*H490, C490="Appliances", 0.16*H490, C490="Fashion", 0.26*H490, C490="Home &amp; Kitchen", 0.22*H490, C490="Beauty &amp; Personal Care", 0.3*H490, C490="Sports &amp; Fitness", 0.2*H490, TRUE, 0.15*H490), 2)</f>
        <v>#NAME?</v>
      </c>
      <c r="J490" s="19" t="s">
        <v>46</v>
      </c>
      <c r="K490" s="19" t="s">
        <v>47</v>
      </c>
      <c r="L490" s="16" t="s">
        <v>25</v>
      </c>
      <c r="M490" s="19" t="s">
        <v>57</v>
      </c>
    </row>
    <row r="491" spans="1:13" ht="12.75">
      <c r="A491" s="16" t="s">
        <v>646</v>
      </c>
      <c r="B491" s="17">
        <v>46387</v>
      </c>
      <c r="C491" s="19" t="s">
        <v>3</v>
      </c>
      <c r="D491" s="19" t="s">
        <v>194</v>
      </c>
      <c r="E491" s="3">
        <v>1</v>
      </c>
      <c r="F491" s="5">
        <v>3199</v>
      </c>
      <c r="G491" s="4">
        <v>0.12</v>
      </c>
      <c r="H491" s="5">
        <f t="shared" si="1"/>
        <v>2815.12</v>
      </c>
      <c r="I491" s="7" t="e">
        <f ca="1">ROUND(_xludf.IFS(L491="Cancelled", 0, L491="Returned", -0.1*H491, C491="Electronics", 0.14*H491, C491="Appliances", 0.16*H491, C491="Fashion", 0.26*H491, C491="Home &amp; Kitchen", 0.22*H491, C491="Beauty &amp; Personal Care", 0.3*H491, C491="Sports &amp; Fitness", 0.2*H491, TRUE, 0.15*H491), 2)</f>
        <v>#NAME?</v>
      </c>
      <c r="J491" s="19" t="s">
        <v>46</v>
      </c>
      <c r="K491" s="19" t="s">
        <v>47</v>
      </c>
      <c r="L491" s="16" t="s">
        <v>25</v>
      </c>
      <c r="M491" s="19" t="s">
        <v>48</v>
      </c>
    </row>
    <row r="492" spans="1:13" ht="12.75">
      <c r="A492" s="16" t="s">
        <v>647</v>
      </c>
      <c r="B492" s="17">
        <v>46387</v>
      </c>
      <c r="C492" s="19" t="s">
        <v>2</v>
      </c>
      <c r="D492" s="19" t="s">
        <v>174</v>
      </c>
      <c r="E492" s="3">
        <v>3</v>
      </c>
      <c r="F492" s="5">
        <v>260</v>
      </c>
      <c r="G492" s="4">
        <v>0.1</v>
      </c>
      <c r="H492" s="5">
        <f t="shared" si="1"/>
        <v>702</v>
      </c>
      <c r="I492" s="7" t="e">
        <f ca="1">ROUND(_xludf.IFS(L492="Cancelled", 0, L492="Returned", -0.1*H492, C492="Electronics", 0.14*H492, C492="Appliances", 0.16*H492, C492="Fashion", 0.26*H492, C492="Home &amp; Kitchen", 0.22*H492, C492="Beauty &amp; Personal Care", 0.3*H492, C492="Sports &amp; Fitness", 0.2*H492, TRUE, 0.15*H492), 2)</f>
        <v>#NAME?</v>
      </c>
      <c r="J492" s="19" t="s">
        <v>66</v>
      </c>
      <c r="K492" s="19" t="s">
        <v>47</v>
      </c>
      <c r="L492" s="16" t="s">
        <v>25</v>
      </c>
      <c r="M492" s="19" t="s">
        <v>73</v>
      </c>
    </row>
    <row r="493" spans="1:13" ht="12.75">
      <c r="A493" s="16" t="s">
        <v>648</v>
      </c>
      <c r="B493" s="17">
        <v>46387</v>
      </c>
      <c r="C493" s="19" t="s">
        <v>7</v>
      </c>
      <c r="D493" s="19" t="s">
        <v>221</v>
      </c>
      <c r="E493" s="3">
        <v>2</v>
      </c>
      <c r="F493" s="5">
        <v>1499</v>
      </c>
      <c r="G493" s="4">
        <v>0.12</v>
      </c>
      <c r="H493" s="5">
        <f t="shared" si="1"/>
        <v>2638.24</v>
      </c>
      <c r="I493" s="7" t="e">
        <f ca="1">ROUND(_xludf.IFS(L493="Cancelled", 0, L493="Returned", -0.1*H493, C493="Electronics", 0.14*H493, C493="Appliances", 0.16*H493, C493="Fashion", 0.26*H493, C493="Home &amp; Kitchen", 0.22*H493, C493="Beauty &amp; Personal Care", 0.3*H493, C493="Sports &amp; Fitness", 0.2*H493, TRUE, 0.15*H493), 2)</f>
        <v>#NAME?</v>
      </c>
      <c r="J493" s="19" t="s">
        <v>51</v>
      </c>
      <c r="K493" s="19" t="s">
        <v>47</v>
      </c>
      <c r="L493" s="16" t="s">
        <v>25</v>
      </c>
      <c r="M493" s="19" t="s">
        <v>67</v>
      </c>
    </row>
    <row r="494" spans="1:13" ht="12.75">
      <c r="A494" s="16" t="s">
        <v>649</v>
      </c>
      <c r="B494" s="17">
        <v>46387</v>
      </c>
      <c r="C494" s="19" t="s">
        <v>5</v>
      </c>
      <c r="D494" s="19" t="s">
        <v>124</v>
      </c>
      <c r="E494" s="3">
        <v>2</v>
      </c>
      <c r="F494" s="5">
        <v>699</v>
      </c>
      <c r="G494" s="4">
        <v>0.15</v>
      </c>
      <c r="H494" s="5">
        <f t="shared" si="1"/>
        <v>1188.3</v>
      </c>
      <c r="I494" s="7" t="e">
        <f ca="1">ROUND(_xludf.IFS(L494="Cancelled", 0, L494="Returned", -0.1*H494, C494="Electronics", 0.14*H494, C494="Appliances", 0.16*H494, C494="Fashion", 0.26*H494, C494="Home &amp; Kitchen", 0.22*H494, C494="Beauty &amp; Personal Care", 0.3*H494, C494="Sports &amp; Fitness", 0.2*H494, TRUE, 0.15*H494), 2)</f>
        <v>#NAME?</v>
      </c>
      <c r="J494" s="19" t="s">
        <v>60</v>
      </c>
      <c r="K494" s="19" t="s">
        <v>56</v>
      </c>
      <c r="L494" s="16" t="s">
        <v>25</v>
      </c>
      <c r="M494" s="19" t="s">
        <v>80</v>
      </c>
    </row>
    <row r="495" spans="1:13" ht="12.75">
      <c r="A495" s="16" t="s">
        <v>650</v>
      </c>
      <c r="B495" s="17">
        <v>46387</v>
      </c>
      <c r="C495" s="19" t="s">
        <v>6</v>
      </c>
      <c r="D495" s="19" t="s">
        <v>16</v>
      </c>
      <c r="E495" s="3">
        <v>1</v>
      </c>
      <c r="F495" s="5">
        <v>24999</v>
      </c>
      <c r="G495" s="4">
        <v>0.2</v>
      </c>
      <c r="H495" s="5">
        <f t="shared" si="1"/>
        <v>19999.2</v>
      </c>
      <c r="I495" s="7" t="e">
        <f ca="1">ROUND(_xludf.IFS(L495="Cancelled", 0, L495="Returned", -0.1*H495, C495="Electronics", 0.14*H495, C495="Appliances", 0.16*H495, C495="Fashion", 0.26*H495, C495="Home &amp; Kitchen", 0.22*H495, C495="Beauty &amp; Personal Care", 0.3*H495, C495="Sports &amp; Fitness", 0.2*H495, TRUE, 0.15*H495), 2)</f>
        <v>#NAME?</v>
      </c>
      <c r="J495" s="19" t="s">
        <v>51</v>
      </c>
      <c r="K495" s="19" t="s">
        <v>47</v>
      </c>
      <c r="L495" s="16" t="s">
        <v>25</v>
      </c>
      <c r="M495" s="19" t="s">
        <v>64</v>
      </c>
    </row>
    <row r="496" spans="1:13" ht="12.75">
      <c r="A496" s="16" t="s">
        <v>651</v>
      </c>
      <c r="B496" s="17">
        <v>46387</v>
      </c>
      <c r="C496" s="19" t="s">
        <v>4</v>
      </c>
      <c r="D496" s="19" t="s">
        <v>181</v>
      </c>
      <c r="E496" s="3">
        <v>2</v>
      </c>
      <c r="F496" s="5">
        <v>999</v>
      </c>
      <c r="G496" s="4">
        <v>0.2</v>
      </c>
      <c r="H496" s="5">
        <f t="shared" si="1"/>
        <v>1598.4</v>
      </c>
      <c r="I496" s="7" t="e">
        <f ca="1">ROUND(_xludf.IFS(L496="Cancelled", 0, L496="Returned", -0.1*H496, C496="Electronics", 0.14*H496, C496="Appliances", 0.16*H496, C496="Fashion", 0.26*H496, C496="Home &amp; Kitchen", 0.22*H496, C496="Beauty &amp; Personal Care", 0.3*H496, C496="Sports &amp; Fitness", 0.2*H496, TRUE, 0.15*H496), 2)</f>
        <v>#NAME?</v>
      </c>
      <c r="J496" s="19" t="s">
        <v>46</v>
      </c>
      <c r="K496" s="19" t="s">
        <v>47</v>
      </c>
      <c r="L496" s="16" t="s">
        <v>25</v>
      </c>
      <c r="M496" s="19" t="s">
        <v>52</v>
      </c>
    </row>
    <row r="497" spans="1:13" ht="12.75">
      <c r="A497" s="16" t="s">
        <v>652</v>
      </c>
      <c r="B497" s="17">
        <v>46387</v>
      </c>
      <c r="C497" s="19" t="s">
        <v>3</v>
      </c>
      <c r="D497" s="19" t="s">
        <v>205</v>
      </c>
      <c r="E497" s="3">
        <v>1</v>
      </c>
      <c r="F497" s="5">
        <v>1699</v>
      </c>
      <c r="G497" s="4">
        <v>0.15</v>
      </c>
      <c r="H497" s="5">
        <f t="shared" si="1"/>
        <v>1444.15</v>
      </c>
      <c r="I497" s="7" t="e">
        <f ca="1">ROUND(_xludf.IFS(L497="Cancelled", 0, L497="Returned", -0.1*H497, C497="Electronics", 0.14*H497, C497="Appliances", 0.16*H497, C497="Fashion", 0.26*H497, C497="Home &amp; Kitchen", 0.22*H497, C497="Beauty &amp; Personal Care", 0.3*H497, C497="Sports &amp; Fitness", 0.2*H497, TRUE, 0.15*H497), 2)</f>
        <v>#NAME?</v>
      </c>
      <c r="J497" s="19" t="s">
        <v>51</v>
      </c>
      <c r="K497" s="19" t="s">
        <v>47</v>
      </c>
      <c r="L497" s="16" t="s">
        <v>25</v>
      </c>
      <c r="M497" s="19" t="s">
        <v>48</v>
      </c>
    </row>
    <row r="498" spans="1:13" ht="12.75">
      <c r="A498" s="16" t="s">
        <v>653</v>
      </c>
      <c r="B498" s="17">
        <v>46387</v>
      </c>
      <c r="C498" s="19" t="s">
        <v>2</v>
      </c>
      <c r="D498" s="19" t="s">
        <v>185</v>
      </c>
      <c r="E498" s="3">
        <v>1</v>
      </c>
      <c r="F498" s="5">
        <v>480</v>
      </c>
      <c r="G498" s="4">
        <v>0.05</v>
      </c>
      <c r="H498" s="5">
        <f t="shared" si="1"/>
        <v>456</v>
      </c>
      <c r="I498" s="7" t="e">
        <f ca="1">ROUND(_xludf.IFS(L498="Cancelled", 0, L498="Returned", -0.1*H498, C498="Electronics", 0.14*H498, C498="Appliances", 0.16*H498, C498="Fashion", 0.26*H498, C498="Home &amp; Kitchen", 0.22*H498, C498="Beauty &amp; Personal Care", 0.3*H498, C498="Sports &amp; Fitness", 0.2*H498, TRUE, 0.15*H498), 2)</f>
        <v>#NAME?</v>
      </c>
      <c r="J498" s="19" t="s">
        <v>55</v>
      </c>
      <c r="K498" s="19" t="s">
        <v>47</v>
      </c>
      <c r="L498" s="16" t="s">
        <v>25</v>
      </c>
      <c r="M498" s="19" t="s">
        <v>57</v>
      </c>
    </row>
    <row r="499" spans="1:13" ht="12.75">
      <c r="A499" s="16" t="s">
        <v>654</v>
      </c>
      <c r="B499" s="17">
        <v>46387</v>
      </c>
      <c r="C499" s="19" t="s">
        <v>7</v>
      </c>
      <c r="D499" s="19" t="s">
        <v>232</v>
      </c>
      <c r="E499" s="3">
        <v>1</v>
      </c>
      <c r="F499" s="5">
        <v>13999</v>
      </c>
      <c r="G499" s="4">
        <v>0.14000000000000001</v>
      </c>
      <c r="H499" s="5">
        <f t="shared" si="1"/>
        <v>12039.14</v>
      </c>
      <c r="I499" s="7" t="e">
        <f ca="1">ROUND(_xludf.IFS(L499="Cancelled", 0, L499="Returned", -0.1*H499, C499="Electronics", 0.14*H499, C499="Appliances", 0.16*H499, C499="Fashion", 0.26*H499, C499="Home &amp; Kitchen", 0.22*H499, C499="Beauty &amp; Personal Care", 0.3*H499, C499="Sports &amp; Fitness", 0.2*H499, TRUE, 0.15*H499), 2)</f>
        <v>#NAME?</v>
      </c>
      <c r="J499" s="19" t="s">
        <v>51</v>
      </c>
      <c r="K499" s="19" t="s">
        <v>47</v>
      </c>
      <c r="L499" s="16" t="s">
        <v>25</v>
      </c>
      <c r="M499" s="19" t="s">
        <v>67</v>
      </c>
    </row>
    <row r="500" spans="1:13" ht="12.75">
      <c r="A500" s="16" t="s">
        <v>655</v>
      </c>
      <c r="B500" s="17">
        <v>46387</v>
      </c>
      <c r="C500" s="19" t="s">
        <v>6</v>
      </c>
      <c r="D500" s="19" t="s">
        <v>20</v>
      </c>
      <c r="E500" s="3">
        <v>1</v>
      </c>
      <c r="F500" s="5">
        <v>29990</v>
      </c>
      <c r="G500" s="4">
        <v>0.1</v>
      </c>
      <c r="H500" s="5">
        <f t="shared" si="1"/>
        <v>26991</v>
      </c>
      <c r="I500" s="7" t="e">
        <f ca="1">ROUND(_xludf.IFS(L500="Cancelled", 0, L500="Returned", -0.1*H500, C500="Electronics", 0.14*H500, C500="Appliances", 0.16*H500, C500="Fashion", 0.26*H500, C500="Home &amp; Kitchen", 0.22*H500, C500="Beauty &amp; Personal Care", 0.3*H500, C500="Sports &amp; Fitness", 0.2*H500, TRUE, 0.15*H500), 2)</f>
        <v>#NAME?</v>
      </c>
      <c r="J500" s="19" t="s">
        <v>66</v>
      </c>
      <c r="K500" s="19" t="s">
        <v>47</v>
      </c>
      <c r="L500" s="16" t="s">
        <v>25</v>
      </c>
      <c r="M500" s="19" t="s">
        <v>52</v>
      </c>
    </row>
    <row r="501" spans="1:13" ht="12.75">
      <c r="A501" s="16" t="s">
        <v>656</v>
      </c>
      <c r="B501" s="17">
        <v>46387</v>
      </c>
      <c r="C501" s="19" t="s">
        <v>6</v>
      </c>
      <c r="D501" s="19" t="s">
        <v>20</v>
      </c>
      <c r="E501" s="3">
        <v>1</v>
      </c>
      <c r="F501" s="5">
        <v>29990</v>
      </c>
      <c r="G501" s="4">
        <v>0.1</v>
      </c>
      <c r="H501" s="5">
        <f t="shared" si="1"/>
        <v>26991</v>
      </c>
      <c r="I501" s="7" t="e">
        <f ca="1">ROUND(_xludf.IFS(L501="Cancelled", 0, L501="Returned", -0.1*H501, C501="Electronics", 0.14*H501, C501="Appliances", 0.16*H501, C501="Fashion", 0.26*H501, C501="Home &amp; Kitchen", 0.22*H501, C501="Beauty &amp; Personal Care", 0.3*H501, C501="Sports &amp; Fitness", 0.2*H501, TRUE, 0.15*H501), 2)</f>
        <v>#NAME?</v>
      </c>
      <c r="J501" s="19" t="s">
        <v>66</v>
      </c>
      <c r="K501" s="19" t="s">
        <v>47</v>
      </c>
      <c r="L501" s="16" t="s">
        <v>25</v>
      </c>
      <c r="M501" s="19" t="s">
        <v>48</v>
      </c>
    </row>
  </sheetData>
  <pageMargins left="0" right="0" top="0" bottom="0" header="0" footer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N26"/>
  <sheetViews>
    <sheetView workbookViewId="0"/>
  </sheetViews>
  <sheetFormatPr defaultColWidth="12.5703125" defaultRowHeight="15.75" customHeight="1"/>
  <cols>
    <col min="1" max="1" width="3.85546875" customWidth="1"/>
    <col min="2" max="2" width="26.42578125" customWidth="1"/>
    <col min="3" max="4" width="10.140625" customWidth="1"/>
    <col min="5" max="5" width="16.42578125" customWidth="1"/>
    <col min="6" max="6" width="14.42578125" customWidth="1"/>
    <col min="7" max="7" width="17" customWidth="1"/>
    <col min="8" max="8" width="3.5703125" customWidth="1"/>
    <col min="9" max="9" width="26.42578125" customWidth="1"/>
    <col min="10" max="11" width="10.140625" customWidth="1"/>
    <col min="12" max="12" width="16.42578125" customWidth="1"/>
    <col min="13" max="13" width="14.42578125" customWidth="1"/>
    <col min="14" max="14" width="13.85546875" customWidth="1"/>
  </cols>
  <sheetData>
    <row r="2" spans="2:14" ht="28.5" customHeight="1">
      <c r="B2" s="51" t="s">
        <v>657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2:14" ht="19.5" customHeight="1">
      <c r="B3" s="52" t="s">
        <v>658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2:14" ht="10.5" customHeight="1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2:14" ht="18" customHeight="1">
      <c r="B5" s="53" t="s">
        <v>659</v>
      </c>
      <c r="C5" s="54"/>
      <c r="D5" s="55"/>
      <c r="E5" s="53" t="s">
        <v>660</v>
      </c>
      <c r="F5" s="54"/>
      <c r="G5" s="55"/>
      <c r="H5" s="2"/>
      <c r="I5" s="53" t="s">
        <v>661</v>
      </c>
      <c r="J5" s="54"/>
      <c r="K5" s="55"/>
      <c r="L5" s="53" t="s">
        <v>662</v>
      </c>
      <c r="M5" s="54"/>
      <c r="N5" s="55"/>
    </row>
    <row r="6" spans="2:14" ht="28.5" customHeight="1">
      <c r="B6" s="56">
        <f>SUM(object1!H2:H501)</f>
        <v>2165463.4099999969</v>
      </c>
      <c r="C6" s="57"/>
      <c r="D6" s="58"/>
      <c r="E6" s="63">
        <f>SUM(object1!E2:E501)</f>
        <v>810</v>
      </c>
      <c r="F6" s="57"/>
      <c r="G6" s="58"/>
      <c r="H6" s="6"/>
      <c r="I6" s="59" t="e">
        <f ca="1">SUM(object1!I2:I501)/SUM(object1!H2:H501)</f>
        <v>#NAME?</v>
      </c>
      <c r="J6" s="57"/>
      <c r="K6" s="58"/>
      <c r="L6" s="59">
        <f>COUNTIF(object1!L2:L501,"Returned")/COUNTA(object1!L2:L501)</f>
        <v>0.05</v>
      </c>
      <c r="M6" s="57"/>
      <c r="N6" s="58"/>
    </row>
    <row r="7" spans="2:14" ht="12" customHeight="1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</row>
    <row r="8" spans="2:14" ht="19.5" customHeight="1">
      <c r="B8" s="60" t="s">
        <v>663</v>
      </c>
      <c r="C8" s="61"/>
      <c r="D8" s="61"/>
      <c r="E8" s="61"/>
      <c r="F8" s="61"/>
      <c r="G8" s="62"/>
      <c r="H8" s="34"/>
      <c r="I8" s="60" t="s">
        <v>664</v>
      </c>
      <c r="J8" s="61"/>
      <c r="K8" s="61"/>
      <c r="L8" s="61"/>
      <c r="M8" s="61"/>
      <c r="N8" s="62"/>
    </row>
    <row r="9" spans="2:14" ht="18" customHeight="1">
      <c r="B9" s="8" t="s">
        <v>665</v>
      </c>
      <c r="C9" s="9" t="s">
        <v>666</v>
      </c>
      <c r="D9" s="9" t="s">
        <v>667</v>
      </c>
      <c r="E9" s="9" t="s">
        <v>668</v>
      </c>
      <c r="F9" s="9" t="s">
        <v>669</v>
      </c>
      <c r="G9" s="10" t="s">
        <v>670</v>
      </c>
      <c r="H9" s="34"/>
      <c r="I9" s="8" t="s">
        <v>671</v>
      </c>
      <c r="J9" s="9" t="s">
        <v>666</v>
      </c>
      <c r="K9" s="9" t="s">
        <v>667</v>
      </c>
      <c r="L9" s="9" t="s">
        <v>668</v>
      </c>
      <c r="M9" s="9" t="s">
        <v>669</v>
      </c>
      <c r="N9" s="10" t="s">
        <v>672</v>
      </c>
    </row>
    <row r="10" spans="2:14" ht="16.5" customHeight="1">
      <c r="B10" s="11" t="s">
        <v>673</v>
      </c>
      <c r="C10" s="12">
        <f>COUNTIF(object1!$K$2:$K$501, "Fulfilled by Amazon")</f>
        <v>381</v>
      </c>
      <c r="D10" s="12">
        <f>SUMIF(object1!$K$2:$K$501, "Fulfilled by Amazon", object1!$E$2:$E$501)</f>
        <v>615</v>
      </c>
      <c r="E10" s="13">
        <f>SUMIF(object1!$K$2:$K$501, "Fulfilled by Amazon", object1!$H$2:$H$501)</f>
        <v>1843557.5699999977</v>
      </c>
      <c r="F10" s="13" t="e">
        <f ca="1">SUMIF(object1!$K$2:$K$501, "Fulfilled by Amazon", object1!$I$2:$I$501)</f>
        <v>#NAME?</v>
      </c>
      <c r="G10" s="14">
        <f>COUNTIFS(object1!$K$2:$K$501, "Fulfilled by Amazon", object1!$L$2:$L$501, "Delivered")/COUNTIF(object1!$K$2:$K$501, "Fulfilled by Amazon")</f>
        <v>0.93700787401574803</v>
      </c>
      <c r="H10" s="34"/>
      <c r="I10" s="11" t="s">
        <v>674</v>
      </c>
      <c r="J10" s="12">
        <f>COUNTIFS(object1!$B$2:$B$501, "&gt;=2024-01-01", object1!$B$2:$B$501, "&lt;=2024-06-30")</f>
        <v>71</v>
      </c>
      <c r="K10" s="12">
        <f>SUMIFS(object1!$E$2:$E$501, object1!$B$2:$B$501, "&gt;=2024-01-01", object1!$B$2:$B$501, "&lt;=2024-06-30")</f>
        <v>117</v>
      </c>
      <c r="L10" s="13">
        <f>SUMIFS(object1!$H$2:$H$501, object1!$B$2:$B$501, "&gt;=2024-01-01", object1!$B$2:$B$501, "&lt;=2024-06-30")</f>
        <v>335312.69000000006</v>
      </c>
      <c r="M10" s="13" t="e">
        <f ca="1">SUMIFS(object1!$I$2:$I$501, object1!$B$2:$B$501, "&gt;=2024-01-01", object1!$B$2:$B$501, "&lt;=2024-06-30")</f>
        <v>#NAME?</v>
      </c>
      <c r="N10" s="14">
        <f t="shared" ref="N10:N15" ca="1" si="0">IFERROR(M10/L10, 0)</f>
        <v>0</v>
      </c>
    </row>
    <row r="11" spans="2:14" ht="16.5" customHeight="1">
      <c r="B11" s="15" t="s">
        <v>675</v>
      </c>
      <c r="C11" s="18">
        <f>COUNTIF(object1!$K$2:$K$501, "Merchant")</f>
        <v>119</v>
      </c>
      <c r="D11" s="18">
        <f>SUMIF(object1!$K$2:$K$501, "Merchant", object1!$E$2:$E$501)</f>
        <v>195</v>
      </c>
      <c r="E11" s="20">
        <f>SUMIF(object1!$K$2:$K$501, "Merchant", object1!$H$2:$H$501)</f>
        <v>321905.83999999991</v>
      </c>
      <c r="F11" s="20" t="e">
        <f ca="1">SUMIF(object1!$K$2:$K$501, "Merchant", object1!$I$2:$I$501)</f>
        <v>#NAME?</v>
      </c>
      <c r="G11" s="21">
        <f>COUNTIFS(object1!$K$2:$K$501, "Merchant", object1!$L$2:$L$501, "Delivered")/COUNTIF(object1!$K$2:$K$501, "Merchant")</f>
        <v>0.68067226890756305</v>
      </c>
      <c r="H11" s="34"/>
      <c r="I11" s="15" t="s">
        <v>676</v>
      </c>
      <c r="J11" s="18">
        <f>COUNTIFS(object1!$B$2:$B$501, "&gt;=2024-07-01", object1!$B$2:$B$501, "&lt;=2024-12-31")</f>
        <v>73</v>
      </c>
      <c r="K11" s="18">
        <f>SUMIFS(object1!$E$2:$E$501, object1!$B$2:$B$501, "&gt;=2024-07-01", object1!$B$2:$B$501, "&lt;=2024-12-31")</f>
        <v>116</v>
      </c>
      <c r="L11" s="20">
        <f>SUMIFS(object1!$H$2:$H$501, object1!$B$2:$B$501, "&gt;=2024-07-01", object1!$B$2:$B$501, "&lt;=2024-12-31")</f>
        <v>258814.6699999999</v>
      </c>
      <c r="M11" s="20" t="e">
        <f ca="1">SUMIFS(object1!$I$2:$I$501, object1!$B$2:$B$501, "&gt;=2024-07-01", object1!$B$2:$B$501, "&lt;=2024-12-31")</f>
        <v>#NAME?</v>
      </c>
      <c r="N11" s="21">
        <f t="shared" ca="1" si="0"/>
        <v>0</v>
      </c>
    </row>
    <row r="12" spans="2:14" ht="16.5" customHeight="1">
      <c r="B12" s="11" t="s">
        <v>677</v>
      </c>
      <c r="C12" s="12">
        <f>COUNTIF(object1!$L$2:$L$501, "Delivered")</f>
        <v>438</v>
      </c>
      <c r="D12" s="12">
        <f>SUMIF(object1!$L$2:$L$501, "Delivered", object1!$E$2:$E$501)</f>
        <v>712</v>
      </c>
      <c r="E12" s="13">
        <f>SUMIF(object1!$L$2:$L$501, "Delivered", object1!$H$2:$H$501)</f>
        <v>1978538.3799999969</v>
      </c>
      <c r="F12" s="13" t="e">
        <f ca="1">SUMIF(object1!$L$2:$L$501, "Delivered", object1!$I$2:$I$501)</f>
        <v>#NAME?</v>
      </c>
      <c r="G12" s="14">
        <f>COUNTIF(object1!$L$2:$L$501, "Delivered")/COUNTA(object1!$L$2:$L$501)</f>
        <v>0.876</v>
      </c>
      <c r="H12" s="34"/>
      <c r="I12" s="11" t="s">
        <v>678</v>
      </c>
      <c r="J12" s="12">
        <f>COUNTIFS(object1!$B$2:$B$501, "&gt;=2025-01-01", object1!$B$2:$B$501, "&lt;=2025-06-30")</f>
        <v>73</v>
      </c>
      <c r="K12" s="12">
        <f>SUMIFS(object1!$E$2:$E$501, object1!$B$2:$B$501, "&gt;=2025-01-01", object1!$B$2:$B$501, "&lt;=2025-06-30")</f>
        <v>119</v>
      </c>
      <c r="L12" s="13">
        <f>SUMIFS(object1!$H$2:$H$501, object1!$B$2:$B$501, "&gt;=2025-01-01", object1!$B$2:$B$501, "&lt;=2025-06-30")</f>
        <v>346537.91</v>
      </c>
      <c r="M12" s="13" t="e">
        <f ca="1">SUMIFS(object1!$I$2:$I$501, object1!$B$2:$B$501, "&gt;=2025-01-01", object1!$B$2:$B$501, "&lt;=2025-06-30")</f>
        <v>#NAME?</v>
      </c>
      <c r="N12" s="14">
        <f t="shared" ca="1" si="0"/>
        <v>0</v>
      </c>
    </row>
    <row r="13" spans="2:14" ht="16.5" customHeight="1">
      <c r="B13" s="15" t="s">
        <v>679</v>
      </c>
      <c r="C13" s="18">
        <f>COUNTIF(object1!$L$2:$L$501, "Returned")</f>
        <v>25</v>
      </c>
      <c r="D13" s="18">
        <f>SUMIF(object1!$L$2:$L$501, "Returned", object1!$E$2:$E$501)</f>
        <v>41</v>
      </c>
      <c r="E13" s="20">
        <f>SUMIF(object1!$L$2:$L$501, "Returned", object1!$H$2:$H$501)</f>
        <v>34780.299999999996</v>
      </c>
      <c r="F13" s="20" t="e">
        <f ca="1">SUMIF(object1!$L$2:$L$501, "Returned", object1!$I$2:$I$501)</f>
        <v>#NAME?</v>
      </c>
      <c r="G13" s="21">
        <f>COUNTIF(object1!$L$2:$L$501, "Returned")/COUNTA(object1!$L$2:$L$501)</f>
        <v>0.05</v>
      </c>
      <c r="H13" s="34"/>
      <c r="I13" s="15" t="s">
        <v>680</v>
      </c>
      <c r="J13" s="18">
        <f>COUNTIFS(object1!$B$2:$B$501, "&gt;=2025-07-01", object1!$B$2:$B$501, "&lt;=2025-12-31")</f>
        <v>73</v>
      </c>
      <c r="K13" s="18">
        <f>SUMIFS(object1!$E$2:$E$501, object1!$B$2:$B$501, "&gt;=2025-07-01", object1!$B$2:$B$501, "&lt;=2025-12-31")</f>
        <v>118</v>
      </c>
      <c r="L13" s="20">
        <f>SUMIFS(object1!$H$2:$H$501, object1!$B$2:$B$501, "&gt;=2025-07-01", object1!$B$2:$B$501, "&lt;=2025-12-31")</f>
        <v>326879.14000000007</v>
      </c>
      <c r="M13" s="20" t="e">
        <f ca="1">SUMIFS(object1!$I$2:$I$501, object1!$B$2:$B$501, "&gt;=2025-07-01", object1!$B$2:$B$501, "&lt;=2025-12-31")</f>
        <v>#NAME?</v>
      </c>
      <c r="N13" s="21">
        <f t="shared" ca="1" si="0"/>
        <v>0</v>
      </c>
    </row>
    <row r="14" spans="2:14" ht="16.5" customHeight="1">
      <c r="B14" s="22" t="s">
        <v>681</v>
      </c>
      <c r="C14" s="23">
        <f>COUNTIFS(object1!$L$2:$L$501, "&lt;&gt;Delivered", object1!$L$2:$L$501, "&lt;&gt;Returned", object1!$L$2:$L$501, "&lt;&gt;")</f>
        <v>37</v>
      </c>
      <c r="D14" s="23">
        <f>SUMIFS(object1!$E$2:$E$501, object1!$L$2:$L$501, "&lt;&gt;Delivered", object1!$L$2:$L$501, "&lt;&gt;Returned")</f>
        <v>57</v>
      </c>
      <c r="E14" s="24">
        <f>SUMIFS(object1!$H$2:$H$501, object1!$L$2:$L$501, "&lt;&gt;Delivered", object1!$L$2:$L$501, "&lt;&gt;Returned")</f>
        <v>152144.72999999998</v>
      </c>
      <c r="F14" s="24" t="e">
        <f ca="1">SUMIFS(object1!$I$2:$I$501, object1!$L$2:$L$501, "&lt;&gt;Delivered", object1!$L$2:$L$501, "&lt;&gt;Returned")</f>
        <v>#NAME?</v>
      </c>
      <c r="G14" s="25">
        <f>C14/COUNTA(object1!$L$2:$L$501)</f>
        <v>7.3999999999999996E-2</v>
      </c>
      <c r="H14" s="34"/>
      <c r="I14" s="22" t="s">
        <v>682</v>
      </c>
      <c r="J14" s="23">
        <f>COUNTIFS(object1!$B$2:$B$501, "&gt;=2026-01-01", object1!$B$2:$B$501, "&lt;=2026-12-31")</f>
        <v>210</v>
      </c>
      <c r="K14" s="23">
        <f>SUMIFS(object1!$E$2:$E$501, object1!$B$2:$B$501, "&gt;=2026-01-01", object1!$B$2:$B$501, "&lt;=2026-12-31")</f>
        <v>340</v>
      </c>
      <c r="L14" s="24">
        <f>SUMIFS(object1!$H$2:$H$501, object1!$B$2:$B$501, "&gt;=2026-01-01", object1!$B$2:$B$501, "&lt;=2026-12-31")</f>
        <v>897919.00000000023</v>
      </c>
      <c r="M14" s="24" t="e">
        <f ca="1">SUMIFS(object1!$I$2:$I$501, object1!$B$2:$B$501, "&gt;=2026-01-01", object1!$B$2:$B$501, "&lt;=2026-12-31")</f>
        <v>#NAME?</v>
      </c>
      <c r="N14" s="25">
        <f t="shared" ca="1" si="0"/>
        <v>0</v>
      </c>
    </row>
    <row r="15" spans="2:14" ht="18.75" customHeight="1">
      <c r="B15" s="26" t="s">
        <v>683</v>
      </c>
      <c r="C15" s="27">
        <f>COUNTA(object1!$L$2:$L$501)</f>
        <v>500</v>
      </c>
      <c r="D15" s="27">
        <f>SUM(object1!$E$2:$E$501)</f>
        <v>810</v>
      </c>
      <c r="E15" s="28">
        <f>SUM(object1!$H$2:$H$501)</f>
        <v>2165463.4099999969</v>
      </c>
      <c r="F15" s="28" t="e">
        <f ca="1">SUM(object1!$I$2:$I$501)</f>
        <v>#NAME?</v>
      </c>
      <c r="G15" s="29">
        <f>COUNTIF(object1!$L$2:$L$501, "Delivered")/COUNTA(object1!$L$2:$L$501)</f>
        <v>0.876</v>
      </c>
      <c r="H15" s="34"/>
      <c r="I15" s="26" t="s">
        <v>684</v>
      </c>
      <c r="J15" s="27">
        <f t="shared" ref="J15:M15" si="1">SUM(J10:J14)</f>
        <v>500</v>
      </c>
      <c r="K15" s="27">
        <f t="shared" si="1"/>
        <v>810</v>
      </c>
      <c r="L15" s="28">
        <f t="shared" si="1"/>
        <v>2165463.41</v>
      </c>
      <c r="M15" s="28" t="e">
        <f t="shared" ca="1" si="1"/>
        <v>#NAME?</v>
      </c>
      <c r="N15" s="29">
        <f t="shared" ca="1" si="0"/>
        <v>0</v>
      </c>
    </row>
    <row r="16" spans="2:14" ht="12" customHeight="1"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2:14" ht="19.5" customHeight="1">
      <c r="B17" s="60" t="s">
        <v>685</v>
      </c>
      <c r="C17" s="61"/>
      <c r="D17" s="61"/>
      <c r="E17" s="61"/>
      <c r="F17" s="61"/>
      <c r="G17" s="62"/>
      <c r="H17" s="34"/>
      <c r="I17" s="60" t="s">
        <v>686</v>
      </c>
      <c r="J17" s="61"/>
      <c r="K17" s="61"/>
      <c r="L17" s="61"/>
      <c r="M17" s="61"/>
      <c r="N17" s="62"/>
    </row>
    <row r="18" spans="2:14" ht="18" customHeight="1">
      <c r="B18" s="8" t="s">
        <v>0</v>
      </c>
      <c r="C18" s="9" t="s">
        <v>666</v>
      </c>
      <c r="D18" s="9" t="s">
        <v>667</v>
      </c>
      <c r="E18" s="9" t="s">
        <v>687</v>
      </c>
      <c r="F18" s="9" t="s">
        <v>688</v>
      </c>
      <c r="G18" s="10" t="s">
        <v>672</v>
      </c>
      <c r="H18" s="34"/>
      <c r="I18" s="8" t="s">
        <v>689</v>
      </c>
      <c r="J18" s="9" t="s">
        <v>666</v>
      </c>
      <c r="K18" s="9" t="s">
        <v>667</v>
      </c>
      <c r="L18" s="9" t="s">
        <v>687</v>
      </c>
      <c r="M18" s="9" t="s">
        <v>688</v>
      </c>
      <c r="N18" s="10" t="s">
        <v>672</v>
      </c>
    </row>
    <row r="19" spans="2:14" ht="16.5" customHeight="1">
      <c r="B19" s="11" t="s">
        <v>6</v>
      </c>
      <c r="C19" s="12">
        <f>COUNTIF(object1!$C$2:$C$501, B19)</f>
        <v>89</v>
      </c>
      <c r="D19" s="12">
        <f>SUMIF(object1!$C$2:$C$501, B19, object1!$E$2:$E$501)</f>
        <v>130</v>
      </c>
      <c r="E19" s="13">
        <f>SUMIF(object1!$C$2:$C$501, B19, object1!$H$2:$H$501)</f>
        <v>760481.59000000008</v>
      </c>
      <c r="F19" s="13" t="e">
        <f ca="1">SUMIF(object1!$C$2:$C$501, B19, object1!$I$2:$I$501)</f>
        <v>#NAME?</v>
      </c>
      <c r="G19" s="14">
        <f t="shared" ref="G19:G25" ca="1" si="2">IFERROR(F19/E19, 0)</f>
        <v>0</v>
      </c>
      <c r="H19" s="34"/>
      <c r="I19" s="11" t="s">
        <v>48</v>
      </c>
      <c r="J19" s="12">
        <f>COUNTIF(object1!$M$2:$M$501, I19)</f>
        <v>90</v>
      </c>
      <c r="K19" s="12">
        <f>SUMIF(object1!$M$2:$M$501, I19, object1!$E$2:$E$501)</f>
        <v>126</v>
      </c>
      <c r="L19" s="13">
        <f>SUMIF(object1!$M$2:$M$501, I19, object1!$H$2:$H$501)</f>
        <v>751267.58000000031</v>
      </c>
      <c r="M19" s="13" t="e">
        <f ca="1">SUMIF(object1!$M$2:$M$501, I19, object1!$I$2:$I$501)</f>
        <v>#NAME?</v>
      </c>
      <c r="N19" s="14">
        <f t="shared" ref="N19:N25" ca="1" si="3">IFERROR(M19/L19, 0)</f>
        <v>0</v>
      </c>
    </row>
    <row r="20" spans="2:14" ht="16.5" customHeight="1">
      <c r="B20" s="15" t="s">
        <v>7</v>
      </c>
      <c r="C20" s="18">
        <f>COUNTIF(object1!$C$2:$C$501, B20)</f>
        <v>82</v>
      </c>
      <c r="D20" s="18">
        <f>SUMIF(object1!$C$2:$C$501, B20, object1!$E$2:$E$501)</f>
        <v>92</v>
      </c>
      <c r="E20" s="20">
        <f>SUMIF(object1!$C$2:$C$501, B20, object1!$H$2:$H$501)</f>
        <v>828543.62000000034</v>
      </c>
      <c r="F20" s="20" t="e">
        <f ca="1">SUMIF(object1!$C$2:$C$501, B20, object1!$I$2:$I$501)</f>
        <v>#NAME?</v>
      </c>
      <c r="G20" s="21">
        <f t="shared" ca="1" si="2"/>
        <v>0</v>
      </c>
      <c r="H20" s="34"/>
      <c r="I20" s="15" t="s">
        <v>52</v>
      </c>
      <c r="J20" s="18">
        <f>COUNTIF(object1!$M$2:$M$501, I20)</f>
        <v>74</v>
      </c>
      <c r="K20" s="18">
        <f>SUMIF(object1!$M$2:$M$501, I20, object1!$E$2:$E$501)</f>
        <v>104</v>
      </c>
      <c r="L20" s="20">
        <f>SUMIF(object1!$M$2:$M$501, I20, object1!$H$2:$H$501)</f>
        <v>355349.31</v>
      </c>
      <c r="M20" s="20" t="e">
        <f ca="1">SUMIF(object1!$M$2:$M$501, I20, object1!$I$2:$I$501)</f>
        <v>#NAME?</v>
      </c>
      <c r="N20" s="21">
        <f t="shared" ca="1" si="3"/>
        <v>0</v>
      </c>
    </row>
    <row r="21" spans="2:14" ht="16.5" customHeight="1">
      <c r="B21" s="11" t="s">
        <v>4</v>
      </c>
      <c r="C21" s="12">
        <f>COUNTIF(object1!$C$2:$C$501, B21)</f>
        <v>83</v>
      </c>
      <c r="D21" s="12">
        <f>SUMIF(object1!$C$2:$C$501, B21, object1!$E$2:$E$501)</f>
        <v>123</v>
      </c>
      <c r="E21" s="13">
        <f>SUMIF(object1!$C$2:$C$501, B21, object1!$H$2:$H$501)</f>
        <v>138785.41</v>
      </c>
      <c r="F21" s="13" t="e">
        <f ca="1">SUMIF(object1!$C$2:$C$501, B21, object1!$I$2:$I$501)</f>
        <v>#NAME?</v>
      </c>
      <c r="G21" s="14">
        <f t="shared" ca="1" si="2"/>
        <v>0</v>
      </c>
      <c r="H21" s="34"/>
      <c r="I21" s="11" t="s">
        <v>64</v>
      </c>
      <c r="J21" s="12">
        <f>COUNTIF(object1!$M$2:$M$501, I21)</f>
        <v>73</v>
      </c>
      <c r="K21" s="12">
        <f>SUMIF(object1!$M$2:$M$501, I21, object1!$E$2:$E$501)</f>
        <v>116</v>
      </c>
      <c r="L21" s="13">
        <f>SUMIF(object1!$M$2:$M$501, I21, object1!$H$2:$H$501)</f>
        <v>348855.25999999995</v>
      </c>
      <c r="M21" s="13" t="e">
        <f ca="1">SUMIF(object1!$M$2:$M$501, I21, object1!$I$2:$I$501)</f>
        <v>#NAME?</v>
      </c>
      <c r="N21" s="14">
        <f t="shared" ca="1" si="3"/>
        <v>0</v>
      </c>
    </row>
    <row r="22" spans="2:14" ht="16.5" customHeight="1">
      <c r="B22" s="15" t="s">
        <v>3</v>
      </c>
      <c r="C22" s="18">
        <f>COUNTIF(object1!$C$2:$C$501, B22)</f>
        <v>83</v>
      </c>
      <c r="D22" s="18">
        <f>SUMIF(object1!$C$2:$C$501, B22, object1!$E$2:$E$501)</f>
        <v>125</v>
      </c>
      <c r="E22" s="20">
        <f>SUMIF(object1!$C$2:$C$501, B22, object1!$H$2:$H$501)</f>
        <v>135444.9599999999</v>
      </c>
      <c r="F22" s="20" t="e">
        <f ca="1">SUMIF(object1!$C$2:$C$501, B22, object1!$I$2:$I$501)</f>
        <v>#NAME?</v>
      </c>
      <c r="G22" s="21">
        <f t="shared" ca="1" si="2"/>
        <v>0</v>
      </c>
      <c r="H22" s="34"/>
      <c r="I22" s="15" t="s">
        <v>67</v>
      </c>
      <c r="J22" s="18">
        <f>COUNTIF(object1!$M$2:$M$501, I22)</f>
        <v>41</v>
      </c>
      <c r="K22" s="18">
        <f>SUMIF(object1!$M$2:$M$501, I22, object1!$E$2:$E$501)</f>
        <v>60</v>
      </c>
      <c r="L22" s="20">
        <f>SUMIF(object1!$M$2:$M$501, I22, object1!$H$2:$H$501)</f>
        <v>239493.5</v>
      </c>
      <c r="M22" s="20" t="e">
        <f ca="1">SUMIF(object1!$M$2:$M$501, I22, object1!$I$2:$I$501)</f>
        <v>#NAME?</v>
      </c>
      <c r="N22" s="21">
        <f t="shared" ca="1" si="3"/>
        <v>0</v>
      </c>
    </row>
    <row r="23" spans="2:14" ht="16.5" customHeight="1">
      <c r="B23" s="11" t="s">
        <v>2</v>
      </c>
      <c r="C23" s="12">
        <f>COUNTIF(object1!$C$2:$C$501, B23)</f>
        <v>83</v>
      </c>
      <c r="D23" s="12">
        <f>SUMIF(object1!$C$2:$C$501, B23, object1!$E$2:$E$501)</f>
        <v>190</v>
      </c>
      <c r="E23" s="13">
        <f>SUMIF(object1!$C$2:$C$501, B23, object1!$H$2:$H$501)</f>
        <v>81717.17</v>
      </c>
      <c r="F23" s="13" t="e">
        <f ca="1">SUMIF(object1!$C$2:$C$501, B23, object1!$I$2:$I$501)</f>
        <v>#NAME?</v>
      </c>
      <c r="G23" s="14">
        <f t="shared" ca="1" si="2"/>
        <v>0</v>
      </c>
      <c r="H23" s="34"/>
      <c r="I23" s="11" t="s">
        <v>57</v>
      </c>
      <c r="J23" s="12">
        <f>COUNTIF(object1!$M$2:$M$501, I23)</f>
        <v>48</v>
      </c>
      <c r="K23" s="12">
        <f>SUMIF(object1!$M$2:$M$501, I23, object1!$E$2:$E$501)</f>
        <v>80</v>
      </c>
      <c r="L23" s="13">
        <f>SUMIF(object1!$M$2:$M$501, I23, object1!$H$2:$H$501)</f>
        <v>143682.16999999995</v>
      </c>
      <c r="M23" s="13" t="e">
        <f ca="1">SUMIF(object1!$M$2:$M$501, I23, object1!$I$2:$I$501)</f>
        <v>#NAME?</v>
      </c>
      <c r="N23" s="14">
        <f t="shared" ca="1" si="3"/>
        <v>0</v>
      </c>
    </row>
    <row r="24" spans="2:14" ht="16.5" customHeight="1">
      <c r="B24" s="30" t="s">
        <v>5</v>
      </c>
      <c r="C24" s="31">
        <f>COUNTIF(object1!$C$2:$C$501, B24)</f>
        <v>80</v>
      </c>
      <c r="D24" s="31">
        <f>SUMIF(object1!$C$2:$C$501, B24, object1!$E$2:$E$501)</f>
        <v>150</v>
      </c>
      <c r="E24" s="32">
        <f>SUMIF(object1!$C$2:$C$501, B24, object1!$H$2:$H$501)</f>
        <v>220490.66</v>
      </c>
      <c r="F24" s="32" t="e">
        <f ca="1">SUMIF(object1!$C$2:$C$501, B24, object1!$I$2:$I$501)</f>
        <v>#NAME?</v>
      </c>
      <c r="G24" s="33">
        <f t="shared" ca="1" si="2"/>
        <v>0</v>
      </c>
      <c r="H24" s="34"/>
      <c r="I24" s="30" t="s">
        <v>690</v>
      </c>
      <c r="J24" s="31">
        <f>COUNTIFS(object1!$M$2:$M$501, "&lt;&gt;Maharashtra", object1!$M$2:$M$501, "&lt;&gt;Karnataka", object1!$M$2:$M$501, "&lt;&gt;Delhi", object1!$M$2:$M$501, "&lt;&gt;Telangana", object1!$M$2:$M$501, "&lt;&gt;Tamil Nadu", object1!$M$2:$M$501, "&lt;&gt;")</f>
        <v>174</v>
      </c>
      <c r="K24" s="31">
        <f>SUM(object1!$E$2:$E$501)-SUM(K19:K23)</f>
        <v>324</v>
      </c>
      <c r="L24" s="32">
        <f>SUM(object1!$H$2:$H$501)-SUM(L19:L23)</f>
        <v>326815.58999999659</v>
      </c>
      <c r="M24" s="32" t="e">
        <f ca="1">SUM(object1!$I$2:$I$501)-SUM(M19:M23)</f>
        <v>#NAME?</v>
      </c>
      <c r="N24" s="33">
        <f t="shared" ca="1" si="3"/>
        <v>0</v>
      </c>
    </row>
    <row r="25" spans="2:14" ht="18.75" customHeight="1">
      <c r="B25" s="26" t="s">
        <v>691</v>
      </c>
      <c r="C25" s="27">
        <f t="shared" ref="C25:F25" si="4">SUM(C19:C24)</f>
        <v>500</v>
      </c>
      <c r="D25" s="27">
        <f t="shared" si="4"/>
        <v>810</v>
      </c>
      <c r="E25" s="28">
        <f t="shared" si="4"/>
        <v>2165463.41</v>
      </c>
      <c r="F25" s="28" t="e">
        <f t="shared" ca="1" si="4"/>
        <v>#NAME?</v>
      </c>
      <c r="G25" s="29">
        <f t="shared" ca="1" si="2"/>
        <v>0</v>
      </c>
      <c r="H25" s="34"/>
      <c r="I25" s="26" t="s">
        <v>692</v>
      </c>
      <c r="J25" s="27">
        <f t="shared" ref="J25:M25" si="5">SUM(J19:J24)</f>
        <v>500</v>
      </c>
      <c r="K25" s="27">
        <f t="shared" si="5"/>
        <v>810</v>
      </c>
      <c r="L25" s="28">
        <f t="shared" si="5"/>
        <v>2165463.4099999969</v>
      </c>
      <c r="M25" s="28" t="e">
        <f t="shared" ca="1" si="5"/>
        <v>#NAME?</v>
      </c>
      <c r="N25" s="29">
        <f t="shared" ca="1" si="3"/>
        <v>0</v>
      </c>
    </row>
    <row r="26" spans="2:14" ht="16.5" customHeight="1">
      <c r="B26" s="49" t="s">
        <v>693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</row>
  </sheetData>
  <mergeCells count="15">
    <mergeCell ref="B26:N26"/>
    <mergeCell ref="B2:N2"/>
    <mergeCell ref="B3:N3"/>
    <mergeCell ref="B5:D5"/>
    <mergeCell ref="E5:G5"/>
    <mergeCell ref="L5:N5"/>
    <mergeCell ref="B6:D6"/>
    <mergeCell ref="L6:N6"/>
    <mergeCell ref="I5:K5"/>
    <mergeCell ref="I6:K6"/>
    <mergeCell ref="I8:N8"/>
    <mergeCell ref="I17:N17"/>
    <mergeCell ref="E6:G6"/>
    <mergeCell ref="B8:G8"/>
    <mergeCell ref="B17:G17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2026-10-04T15:38:02Z</dcterms:created>
  <dcterms:modified xsi:type="dcterms:W3CDTF">2026-10-05T05:23:48Z</dcterms:modified>
  <cp:category/>
  <cp:contentStatus/>
</cp:coreProperties>
</file>